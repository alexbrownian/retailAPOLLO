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 Storyline" sheetId="1" state="visible" r:id="rId1"/>
    <sheet xmlns:r="http://schemas.openxmlformats.org/officeDocument/2006/relationships" name="1. Motivation &amp; Aim" sheetId="2" state="visible" r:id="rId2"/>
    <sheet xmlns:r="http://schemas.openxmlformats.org/officeDocument/2006/relationships" name="2. Literature" sheetId="3" state="visible" r:id="rId3"/>
    <sheet xmlns:r="http://schemas.openxmlformats.org/officeDocument/2006/relationships" name="3. Data &amp; Architecture" sheetId="4" state="visible" r:id="rId4"/>
    <sheet xmlns:r="http://schemas.openxmlformats.org/officeDocument/2006/relationships" name="3b. Pipeline &amp; Cadence" sheetId="5" state="visible" r:id="rId5"/>
    <sheet xmlns:r="http://schemas.openxmlformats.org/officeDocument/2006/relationships" name="4. Detector Design" sheetId="6" state="visible" r:id="rId6"/>
    <sheet xmlns:r="http://schemas.openxmlformats.org/officeDocument/2006/relationships" name="5. Validation" sheetId="7" state="visible" r:id="rId7"/>
    <sheet xmlns:r="http://schemas.openxmlformats.org/officeDocument/2006/relationships" name="6. Ablation" sheetId="8" state="visible" r:id="rId8"/>
    <sheet xmlns:r="http://schemas.openxmlformats.org/officeDocument/2006/relationships" name="7. ML Challenger" sheetId="9" state="visible" r:id="rId9"/>
    <sheet xmlns:r="http://schemas.openxmlformats.org/officeDocument/2006/relationships" name="7b. Phases Study (Onset)" sheetId="10" state="visible" r:id="rId10"/>
    <sheet xmlns:r="http://schemas.openxmlformats.org/officeDocument/2006/relationships" name="8. Influence Tracker" sheetId="11" state="visible" r:id="rId11"/>
    <sheet xmlns:r="http://schemas.openxmlformats.org/officeDocument/2006/relationships" name="8b. Influence ML Model" sheetId="12" state="visible" r:id="rId12"/>
    <sheet xmlns:r="http://schemas.openxmlformats.org/officeDocument/2006/relationships" name="9. Legacy Decisions" sheetId="13" state="visible" r:id="rId13"/>
    <sheet xmlns:r="http://schemas.openxmlformats.org/officeDocument/2006/relationships" name="10. Limitations" sheetId="14" state="visible" r:id="rId14"/>
    <sheet xmlns:r="http://schemas.openxmlformats.org/officeDocument/2006/relationships" name="11. Next Steps" sheetId="15" state="visible" r:id="rId15"/>
    <sheet xmlns:r="http://schemas.openxmlformats.org/officeDocument/2006/relationships" name="12. References" sheetId="16" state="visible" r:id="rId16"/>
  </sheets>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sz val="10"/>
    </font>
    <font>
      <name val="Arial"/>
      <charset val="1"/>
      <family val="0"/>
      <i val="1"/>
      <color rgb="FF555555"/>
      <sz val="9"/>
    </font>
    <font>
      <name val="Arial"/>
      <charset val="1"/>
      <family val="0"/>
      <b val="1"/>
      <color rgb="FFFFFFFF"/>
      <sz val="11"/>
    </font>
    <font>
      <name val="Arial"/>
      <charset val="1"/>
      <family val="0"/>
      <b val="1"/>
      <sz val="10"/>
    </font>
    <font>
      <name val="Arial"/>
      <b val="1"/>
      <color rgb="001F3864"/>
      <sz val="14"/>
    </font>
    <font>
      <name val="Arial"/>
      <b val="1"/>
      <sz val="11"/>
    </font>
    <font>
      <name val="Arial"/>
      <sz val="11"/>
    </font>
    <font>
      <name val="Arial"/>
      <sz val="10"/>
    </font>
    <font>
      <b val="1"/>
    </font>
    <font>
      <name val="Arial"/>
      <b val="1"/>
      <sz val="10"/>
    </font>
    <font>
      <name val="Arial"/>
      <b val="1"/>
      <color rgb="FF1F3864"/>
      <sz val="14"/>
    </font>
    <font>
      <name val="Arial"/>
      <b val="1"/>
      <color rgb="FFFFFFFF"/>
      <sz val="11"/>
    </font>
  </fonts>
  <fills count="8">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
      <patternFill patternType="solid">
        <fgColor rgb="FFD9E2F1"/>
        <bgColor rgb="FFF2F2F2"/>
      </patternFill>
    </fill>
    <fill>
      <patternFill patternType="solid">
        <fgColor rgb="00D9E2F3"/>
      </patternFill>
    </fill>
    <fill>
      <patternFill patternType="solid">
        <fgColor rgb="FF1F3864"/>
      </patternFill>
    </fill>
  </fills>
  <borders count="8">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diagonal/>
    </border>
    <border>
      <left/>
      <right style="thin">
        <color rgb="FFBBBBBB"/>
      </right>
      <top style="thin">
        <color rgb="FFBBBBBB"/>
      </top>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bottom style="thin">
        <color rgb="FFD9D9D9"/>
      </bottom>
    </border>
    <border>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5" fillId="3"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5" borderId="1" applyAlignment="1" pivotButton="0" quotePrefix="0" xfId="0">
      <alignment horizontal="general" vertical="top" wrapText="1"/>
    </xf>
    <xf numFmtId="0" fontId="5" fillId="5"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5" fillId="3"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5" borderId="1" applyAlignment="1" pivotButton="0" quotePrefix="0" xfId="0">
      <alignment horizontal="general" vertical="top" wrapText="1"/>
    </xf>
    <xf numFmtId="0" fontId="5" fillId="5" borderId="1" applyAlignment="1" pivotButton="0" quotePrefix="0" xfId="0">
      <alignment horizontal="general" vertical="top" wrapText="1"/>
    </xf>
    <xf numFmtId="0" fontId="0" fillId="0" borderId="4" pivotButton="0" quotePrefix="0" xfId="0"/>
    <xf numFmtId="0" fontId="0" fillId="0" borderId="5" pivotButton="0" quotePrefix="0" xfId="0"/>
    <xf numFmtId="0" fontId="9" fillId="0" borderId="0" pivotButton="0" quotePrefix="0" xfId="0"/>
    <xf numFmtId="0" fontId="10" fillId="6"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4" fillId="0" borderId="0" applyAlignment="1" pivotButton="0" quotePrefix="0" xfId="0">
      <alignment horizontal="general" vertical="center"/>
    </xf>
    <xf numFmtId="0" fontId="13" fillId="0" borderId="0" applyAlignment="1" pivotButton="0" quotePrefix="0" xfId="0">
      <alignment vertical="top" wrapText="1"/>
    </xf>
    <xf numFmtId="0" fontId="0" fillId="0" borderId="0" applyAlignment="1" pivotButton="0" quotePrefix="0" xfId="0">
      <alignment vertical="top" wrapText="1"/>
    </xf>
    <xf numFmtId="0" fontId="14" fillId="0" borderId="6" applyAlignment="1" pivotButton="0" quotePrefix="0" xfId="0">
      <alignment vertical="top" wrapText="1"/>
    </xf>
    <xf numFmtId="0" fontId="12" fillId="0" borderId="6" applyAlignment="1" pivotButton="0" quotePrefix="0" xfId="0">
      <alignment vertical="top" wrapText="1"/>
    </xf>
    <xf numFmtId="0" fontId="14" fillId="3" borderId="6" applyAlignment="1" pivotButton="0" quotePrefix="0" xfId="0">
      <alignment vertical="top" wrapText="1"/>
    </xf>
    <xf numFmtId="0" fontId="12" fillId="3" borderId="6" applyAlignment="1" pivotButton="0" quotePrefix="0" xfId="0">
      <alignment vertical="top" wrapText="1"/>
    </xf>
    <xf numFmtId="0" fontId="14" fillId="4" borderId="6" applyAlignment="1" pivotButton="0" quotePrefix="0" xfId="0">
      <alignment vertical="top" wrapText="1"/>
    </xf>
    <xf numFmtId="0" fontId="12" fillId="4" borderId="6" applyAlignment="1" pivotButton="0" quotePrefix="0" xfId="0">
      <alignment vertical="top" wrapText="1"/>
    </xf>
    <xf numFmtId="0" fontId="15" fillId="0" borderId="0" pivotButton="0" quotePrefix="0" xfId="0"/>
    <xf numFmtId="0" fontId="16" fillId="7" borderId="7"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F2F2F2"/>
      <rgbColor rgb="FF660066"/>
      <rgbColor rgb="FFFF8080"/>
      <rgbColor rgb="FF0066CC"/>
      <rgbColor rgb="FFD9E2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8"/>
  <sheetViews>
    <sheetView showFormulas="0" showGridLines="0" showRowColHeaders="1" showZeros="1" rightToLeft="0" tabSelected="1"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 min="1" max="1"/>
    <col width="44" customWidth="1" style="12" min="2" max="2"/>
    <col width="78" customWidth="1" style="12" min="3" max="3"/>
  </cols>
  <sheetData>
    <row r="1" ht="25.5" customHeight="1" s="13">
      <c r="A1" s="14" t="inlineStr">
        <is>
          <t>RetailRadar / retailAPOLLO - Decisions &amp; Evidence (defense-ordered)</t>
        </is>
      </c>
    </row>
    <row r="3" ht="15" customHeight="1" s="13">
      <c r="A3" s="15" t="n"/>
      <c r="B3" s="16" t="inlineStr">
        <is>
          <t>Alex Brown - GIP 2026 Project - MAARS Global Macro</t>
        </is>
      </c>
      <c r="C3" s="15" t="n"/>
    </row>
    <row r="4" ht="57.45" customHeight="1" s="13">
      <c r="A4" s="15" t="n"/>
      <c r="B4" s="15" t="inlineStr">
        <is>
          <t>Every sheet = one act of the defense, in presentation order. Every claim carries its number and its source; every fitted quantity is named; everything else is fixed a priori. References are cited as [n] -&gt; sheet '12. References'.</t>
        </is>
      </c>
      <c r="C4" s="15" t="n"/>
    </row>
    <row r="6" ht="15" customHeight="1" s="13">
      <c r="A6" s="17" t="inlineStr">
        <is>
          <t>Sheet</t>
        </is>
      </c>
      <c r="B6" s="17" t="inlineStr">
        <is>
          <t>The question it answers</t>
        </is>
      </c>
      <c r="C6" s="17" t="inlineStr">
        <is>
          <t>One-line takeaway</t>
        </is>
      </c>
    </row>
    <row r="7" ht="23.85" customHeight="1" s="13">
      <c r="A7" s="18" t="inlineStr">
        <is>
          <t>1. Motivation &amp; Aim</t>
        </is>
      </c>
      <c r="B7" s="19" t="inlineStr">
        <is>
          <t>What problem, and what exactly counts as success?</t>
        </is>
      </c>
      <c r="C7" s="19" t="inlineStr">
        <is>
          <t>Detect retail EUPHORIA from Reddit-derived data alone and call price TOPS: an alert inside [peak-30d, peak+1d]; peaks are price-defined so the test is objective.</t>
        </is>
      </c>
    </row>
    <row r="8" ht="35.05" customHeight="1" s="13">
      <c r="A8" s="20" t="inlineStr">
        <is>
          <t>2. Literature</t>
        </is>
      </c>
      <c r="B8" s="15" t="inlineStr">
        <is>
          <t>Why believe crowd data can call tops at all?</t>
        </is>
      </c>
      <c r="C8" s="15" t="inlineStr">
        <is>
          <t>Attention extremes precede reversals [2][6][9]; one-sided sentiment at extremes is contrarian [5][10]; bubbles carry a super-exponential signature [3][4][7][8]; predictive skill concentrates in identifiable users [1].</t>
        </is>
      </c>
    </row>
    <row r="9" ht="23.85" customHeight="1" s="13">
      <c r="A9" s="18" t="inlineStr">
        <is>
          <t>3. Data &amp; Architecture</t>
        </is>
      </c>
      <c r="B9" s="19" t="inlineStr">
        <is>
          <t>What data, and what guarantees?</t>
        </is>
      </c>
      <c r="C9" s="19" t="inlineStr">
        <is>
          <t>3 sources, text-free committed aggregates, two-machine contract; price data exists ONLY to test, never to predict.</t>
        </is>
      </c>
    </row>
    <row r="10" ht="23.85" customHeight="1" s="13">
      <c r="A10" s="20" t="inlineStr">
        <is>
          <t>4. Detector Design</t>
        </is>
      </c>
      <c r="B10" s="15" t="inlineStr">
        <is>
          <t>What are the rules, precisely?</t>
        </is>
      </c>
      <c r="C10" s="15" t="inlineStr">
        <is>
          <t>4 percentile features + fade trigger + 4 gates; ONE fitted number (the threshold), learned walk-forward; everything else fixed a priori.</t>
        </is>
      </c>
    </row>
    <row r="11" ht="23.85" customHeight="1" s="13">
      <c r="A11" s="18" t="inlineStr">
        <is>
          <t>5. Validation</t>
        </is>
      </c>
      <c r="B11" s="19" t="inlineStr">
        <is>
          <t>Does it work out-of-sample?</t>
        </is>
      </c>
      <c r="C11" s="19" t="inlineStr">
        <is>
          <t>23% of coverage-detectable tops flagged, median 4d before the peak, 0.11 FAs/instrument-year - and the honest cost of the Reddit-only rule is quantified (price-assisted variant: 46%).</t>
        </is>
      </c>
    </row>
    <row r="12" ht="23.85" customHeight="1" s="13">
      <c r="A12" s="20" t="inlineStr">
        <is>
          <t>6. Ablation</t>
        </is>
      </c>
      <c r="B12" s="15" t="inlineStr">
        <is>
          <t>Does every rule earn its place?</t>
        </is>
      </c>
      <c r="C12" s="15" t="inlineStr">
        <is>
          <t>Thesis-style knock-out study [1]: the hype gate is the precision lever (+83 FAs without it), the fade trigger is the capture lever (-0.095 without it).</t>
        </is>
      </c>
    </row>
    <row r="13" ht="23.85" customHeight="1" s="13">
      <c r="A13" s="18" t="inlineStr">
        <is>
          <t>7. ML Challenger</t>
        </is>
      </c>
      <c r="B13" s="19" t="inlineStr">
        <is>
          <t>Would a learned model beat the hand-rules?</t>
        </is>
      </c>
      <c r="C13" s="19" t="inlineStr">
        <is>
          <t>Walk-forward logistic regression on the same features: rejected under a pre-stated criterion; its coefficients rank the same features top - the rules are not arbitrary.</t>
        </is>
      </c>
    </row>
    <row r="14" ht="23.85" customHeight="1" s="13">
      <c r="A14" s="20" t="inlineStr">
        <is>
          <t>8. Influence Tracker</t>
        </is>
      </c>
      <c r="B14" s="15" t="inlineStr">
        <is>
          <t>WHO in the crowd is worth listening to?</t>
        </is>
      </c>
      <c r="C14" s="15" t="inlineStr">
        <is>
          <t>Thesis method end-to-end [1]: volatility-scaled call judging, shrunk usefulness composite, reply-graph PageRank, loud-but-wrong flag.</t>
        </is>
      </c>
    </row>
    <row r="15" ht="23.85" customHeight="1" s="13">
      <c r="A15" s="18" t="inlineStr">
        <is>
          <t>9. Legacy Decisions</t>
        </is>
      </c>
      <c r="B15" s="19" t="inlineStr">
        <is>
          <t>What happened to the old BUY/SELL machinery?</t>
        </is>
      </c>
      <c r="C15" s="19" t="inlineStr">
        <is>
          <t>Retired from the dashboard with evidence (full-history BUY = -1.42%/trade); conviction EWM engine + reversion exits validated and kept for research.</t>
        </is>
      </c>
    </row>
    <row r="16" ht="23.85" customHeight="1" s="13">
      <c r="A16" s="20" t="inlineStr">
        <is>
          <t>10. Limitations</t>
        </is>
      </c>
      <c r="B16" s="15" t="inlineStr">
        <is>
          <t>What would a sharp examiner attack?</t>
        </is>
      </c>
      <c r="C16" s="15" t="inlineStr">
        <is>
          <t>Coverage cliffs, small event counts, VADER label noise, one-subreddit-era gaps - each named, each with its mitigation.</t>
        </is>
      </c>
    </row>
    <row r="17" ht="23.85" customHeight="1" s="13">
      <c r="A17" s="18" t="inlineStr">
        <is>
          <t>11. Next Steps</t>
        </is>
      </c>
      <c r="B17" s="19" t="inlineStr">
        <is>
          <t>What would most improve the result?</t>
        </is>
      </c>
      <c r="C17" s="19" t="inlineStr">
        <is>
          <t>Comment backfill into the aggregates (~10x data, feeds every feature), prices to 2017 (real 2018-2020 train/test years), forward out-of-sample tracking.</t>
        </is>
      </c>
    </row>
    <row r="18" ht="15" customHeight="1" s="13">
      <c r="A18" s="20" t="inlineStr">
        <is>
          <t>12. References</t>
        </is>
      </c>
      <c r="B18" s="15" t="inlineStr">
        <is>
          <t>What is all of this built on?</t>
        </is>
      </c>
      <c r="C18" s="15" t="inlineStr">
        <is>
          <t>Every paper used, with where it entered the design.</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1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 min="1" max="1"/>
    <col width="60" customWidth="1" style="12" min="2" max="2"/>
    <col width="52" customWidth="1" style="12" min="3" max="3"/>
  </cols>
  <sheetData>
    <row r="1" ht="25.5" customHeight="1" s="13">
      <c r="A1" s="14" t="inlineStr">
        <is>
          <t>1. Motivation &amp; Aim</t>
        </is>
      </c>
    </row>
    <row r="3" ht="15" customHeight="1" s="13">
      <c r="A3" s="17" t="inlineStr">
        <is>
          <t>Item</t>
        </is>
      </c>
      <c r="B3" s="17" t="inlineStr">
        <is>
          <t>Statement</t>
        </is>
      </c>
      <c r="C3" s="17" t="inlineStr">
        <is>
          <t>Why / provenance</t>
        </is>
      </c>
    </row>
    <row r="4" ht="35.05" customHeight="1" s="13">
      <c r="A4" s="20" t="inlineStr">
        <is>
          <t>The observation</t>
        </is>
      </c>
      <c r="B4" s="15" t="inlineStr">
        <is>
          <t>Retail crowds go through visible manic episodes: one name absorbs the room's attention, everyone is bullish for weeks, then the price makes a top and crashes.</t>
        </is>
      </c>
      <c r="C4" s="15" t="inlineStr">
        <is>
          <t>Desk experience + the attention-reversal literature [2][6][9].</t>
        </is>
      </c>
    </row>
    <row r="5" ht="35.05" customHeight="1" s="13">
      <c r="A5" s="18" t="inlineStr">
        <is>
          <t>The aim</t>
        </is>
      </c>
      <c r="B5" s="19" t="inlineStr">
        <is>
          <t>Detect the EUPHORIA state and raise an alert BEFORE the top: success = alert inside [peak - 30 days, peak + 1 day], the closer the better, with false alarms rare.</t>
        </is>
      </c>
      <c r="C5" s="19" t="inlineStr">
        <is>
          <t>Set by the desk, July 2026. The window is the aim's own definition of success - fixed before any validation was run.</t>
        </is>
      </c>
    </row>
    <row r="6" ht="23.85" customHeight="1" s="13">
      <c r="A6" s="20" t="inlineStr">
        <is>
          <t>Desk hypothesis 1</t>
        </is>
      </c>
      <c r="B6" s="15" t="inlineStr">
        <is>
          <t>Euphoria = super bullish AND has been for a long time.</t>
        </is>
      </c>
      <c r="C6" s="15" t="inlineStr">
        <is>
          <t>Encoded as rule E2 + gate A2b (28d bullish level + &gt;=75% of posting days net-bullish).</t>
        </is>
      </c>
    </row>
    <row r="7" ht="35.05" customHeight="1" s="13">
      <c r="A7" s="18" t="inlineStr">
        <is>
          <t>Desk hypothesis 2</t>
        </is>
      </c>
      <c r="B7" s="19" t="inlineStr">
        <is>
          <t>A top is near when retail is still loud but becoming LESS bullish.</t>
        </is>
      </c>
      <c r="C7" s="19" t="inlineStr">
        <is>
          <t>Encoded as the fade trigger E4 (attention &gt;= 90th pct while 14d bullish share falls). Ablation: the single biggest capture contributor (sheet 6).</t>
        </is>
      </c>
    </row>
    <row r="8" ht="23.85" customHeight="1" s="13">
      <c r="A8" s="20" t="inlineStr">
        <is>
          <t>Desk hypothesis 3</t>
        </is>
      </c>
      <c r="B8" s="15" t="inlineStr">
        <is>
          <t>A ticker that is extremely hot AND euphoric is the dangerous one.</t>
        </is>
      </c>
      <c r="C8" s="15" t="inlineStr">
        <is>
          <t>Encoded as gate A2 (attention &gt;= 90th pct) + the hype prerequisite A1 (7d share &gt;= 2x its 120d median).</t>
        </is>
      </c>
    </row>
    <row r="9" ht="35.05" customHeight="1" s="13">
      <c r="A9" s="18" t="inlineStr">
        <is>
          <t>THE constraint</t>
        </is>
      </c>
      <c r="B9" s="19" t="inlineStr">
        <is>
          <t>Prediction uses Reddit-derived data ONLY. Price never enters the euphoria level or the alert - it defines and scores the ground-truth tops, nothing else.</t>
        </is>
      </c>
      <c r="C9" s="19" t="inlineStr">
        <is>
          <t>Desk rule, July 2026. Keeps the claim clean: 'the crowd alone called the top'. Its measured cost: sheet 5.</t>
        </is>
      </c>
    </row>
    <row r="10" ht="35.05" customHeight="1" s="13">
      <c r="A10" s="20" t="inlineStr">
        <is>
          <t>Ground truth (for testing)</t>
        </is>
      </c>
      <c r="B10" s="15" t="inlineStr">
        <is>
          <t>A PEAK = local 21d high, &gt;=25% (ETF) / &gt;=50% (single name) above its 120d low, followed by a &gt;=15% / &gt;=30% drawdown within 90d. Peaks under 30d apart collapse to the higher.</t>
        </is>
      </c>
      <c r="C10" s="15" t="inlineStr">
        <is>
          <t>Price-defined so the test cannot flatter the detector. Dual thresholds: the desk's call - single names are structurally more volatile.</t>
        </is>
      </c>
    </row>
    <row r="11" ht="35.05" customHeight="1" s="13">
      <c r="A11" s="18" t="inlineStr">
        <is>
          <t>Universe</t>
        </is>
      </c>
      <c r="B11" s="19" t="inlineStr">
        <is>
          <t>Tradeable themes (anchor ETFs) minus rates_bonds &amp; real_estate, PLUS the top-25 most-mentioned priced single names (data-chosen, needs &gt;=3,000 scored posts), PLUS retail commodities via their ETFs.</t>
        </is>
      </c>
      <c r="C11" s="19" t="inlineStr">
        <is>
          <t>Desk scope decision, July 2026. Single-name list is data-chosen so the detector catches the NEXT NVDA, not a hand list of the last one.</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62" customWidth="1" style="12" min="2" max="2"/>
    <col width="46" customWidth="1" style="12" min="3" max="3"/>
  </cols>
  <sheetData>
    <row r="1" ht="25.5" customHeight="1" s="13">
      <c r="A1" s="14" t="inlineStr">
        <is>
          <t>2. Literature - each finding and where it entered the design</t>
        </is>
      </c>
    </row>
    <row r="3" ht="15" customHeight="1" s="13">
      <c r="A3" s="17" t="inlineStr">
        <is>
          <t>Finding (source)</t>
        </is>
      </c>
      <c r="B3" s="17" t="inlineStr">
        <is>
          <t>What the research says</t>
        </is>
      </c>
      <c r="C3" s="17" t="inlineStr">
        <is>
          <t>Where it lives in this project</t>
        </is>
      </c>
    </row>
    <row r="4" ht="35.05" customHeight="1" s="13">
      <c r="A4" s="20" t="inlineStr">
        <is>
          <t>Attention extremes reverse [2]</t>
        </is>
      </c>
      <c r="B4" s="15" t="inlineStr">
        <is>
          <t>Retail attention surges predict negative abnormal returns - attention-induced buying pushes prices past fundamentals, then they mean-revert (Robinhood herding episodes).</t>
        </is>
      </c>
      <c r="C4" s="15" t="inlineStr">
        <is>
          <t>E1 (attention extremity) + gate A2. Attention is ranked against the name's OWN history, so 'extreme' is name-relative.</t>
        </is>
      </c>
    </row>
    <row r="5" ht="35.05" customHeight="1" s="13">
      <c r="A5" s="18" t="inlineStr">
        <is>
          <t>WSB / discussion-board herding [6][9]</t>
        </is>
      </c>
      <c r="B5" s="19" t="inlineStr">
        <is>
          <t>WallStreetBets activity concentrates attention and amplifies one-way trades; returns following peak attention are poor; social-network 'dumb money' herding measures predict reversals.</t>
        </is>
      </c>
      <c r="C5" s="19" t="inlineStr">
        <is>
          <t>The hype prerequisite A1 (the crowd must have genuinely swollen) and the 21d episode cooldown.</t>
        </is>
      </c>
    </row>
    <row r="6" ht="35.05" customHeight="1" s="13">
      <c r="A6" s="20" t="inlineStr">
        <is>
          <t>Sentiment extremes are contrarian [5][10][11]</t>
        </is>
      </c>
      <c r="B6" s="15" t="inlineStr">
        <is>
          <t>Aggregated bullishness peaks coincide with local price tops in Twitter/Reddit studies; the marginal buyer is exhausted when everyone is already bullish.</t>
        </is>
      </c>
      <c r="C6" s="15" t="inlineStr">
        <is>
          <t>E2 (sustained bullishness, persistence-gated) + the fade trigger E4 (mood rolls over while the crowd is maximal - the classic distribution pattern).</t>
        </is>
      </c>
    </row>
    <row r="7" ht="46.25" customHeight="1" s="13">
      <c r="A7" s="18" t="inlineStr">
        <is>
          <t>Super-exponential growth = bubble signature [3][4][7][8]</t>
        </is>
      </c>
      <c r="B7" s="19" t="inlineStr">
        <is>
          <t>Sornette's LPPLS: unsustainable bubbles show faster-than-exponential growth (the log curves upward) before the crash; validated on two centuries of S&amp;P data [3] and on meme stocks [7].</t>
        </is>
      </c>
      <c r="C7" s="19" t="inlineStr">
        <is>
          <t>E5 - LPPLS-lite convexity applied to ATTENTION (log mentions), not price, per the Reddit-only rule: contagion whose growth rate is itself growing must saturate; attention saturation is where tops form.</t>
        </is>
      </c>
    </row>
    <row r="8" ht="35.05" customHeight="1" s="13">
      <c r="A8" s="20" t="inlineStr">
        <is>
          <t>Skill concentrates in identifiable users [1]</t>
        </is>
      </c>
      <c r="B8" s="15" t="inlineStr">
        <is>
          <t>Chan (Oxford, 2026): a small subset of users carries most predictive ability; they are identifiable from forecast history + network position; the LOUD hubs are the least accurate group (40.2% vs 79.2%).</t>
        </is>
      </c>
      <c r="C8" s="15" t="inlineStr">
        <is>
          <t>The whole Influence Tracker (sheet 8): usefulness composite, volatility-scaled judging, PageRank, loud-but-wrong flag, plus the ablation methodology (sheet 6).</t>
        </is>
      </c>
    </row>
    <row r="9" ht="35.05" customHeight="1" s="13">
      <c r="A9" s="18" t="inlineStr">
        <is>
          <t>Ablation &amp; perturbation methodology [1]</t>
        </is>
      </c>
      <c r="B9" s="19" t="inlineStr">
        <is>
          <t>Single-feature knock-outs measure each ingredient's marginal contribution; caveat - correlated features are understated; threshold-dependent metrics are noisy at small n.</t>
        </is>
      </c>
      <c r="C9" s="19" t="inlineStr">
        <is>
          <t>Sheet 6 replicates the design on the euphoria rules, caveats included.</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2" min="1" max="1"/>
    <col width="58" customWidth="1" style="12" min="2" max="2"/>
    <col width="50" customWidth="1" style="12" min="3" max="3"/>
  </cols>
  <sheetData>
    <row r="1" ht="25.5" customHeight="1" s="13">
      <c r="A1" s="14" t="inlineStr">
        <is>
          <t>3. Data &amp; Architecture</t>
        </is>
      </c>
    </row>
    <row r="3" ht="15" customHeight="1" s="13">
      <c r="A3" s="17" t="inlineStr">
        <is>
          <t>Component</t>
        </is>
      </c>
      <c r="B3" s="17" t="inlineStr">
        <is>
          <t>What it is</t>
        </is>
      </c>
      <c r="C3" s="17" t="inlineStr">
        <is>
          <t>Design guarantee</t>
        </is>
      </c>
    </row>
    <row r="4" ht="35.05" customHeight="1" s="13">
      <c r="A4" s="20" t="inlineStr">
        <is>
          <t>Sources</t>
        </is>
      </c>
      <c r="B4" s="15" t="inlineStr">
        <is>
          <t>17 finance subreddits (Arctic Shift, watermarked incremental), X/Twitter (FetchLayer), StockTwits streams - fetched in parallel with a 30s heartbeat.</t>
        </is>
      </c>
      <c r="C4" s="15" t="inlineStr">
        <is>
          <t>Dedup at fold time: first-seen wins; per-source id prefixes prevent collisions.</t>
        </is>
      </c>
    </row>
    <row r="5" ht="23.85" customHeight="1" s="13">
      <c r="A5" s="18" t="inlineStr">
        <is>
          <t>ABSTRACTED_DATA (committed)</t>
        </is>
      </c>
      <c r="B5" s="19" t="inlineStr">
        <is>
          <t>Six text-free daily aggregates: theme/ticker counts, sentiment (n-weighted net-bullish share), term counts, per-source counts.</t>
        </is>
      </c>
      <c r="C5" s="19" t="inlineStr">
        <is>
          <t>The text-free git contract: a FORBIDDEN-columns check runs on every export; raw text never leaves the external machine.</t>
        </is>
      </c>
    </row>
    <row r="6" ht="35.05" customHeight="1" s="13">
      <c r="A6" s="20" t="inlineStr">
        <is>
          <t>Two machines</t>
        </is>
      </c>
      <c r="B6" s="15" t="inlineStr">
        <is>
          <t>External holds posts.parquet (raw text) and can rebuild everything; internal holds only the aggregates and folds live posts straight in.</t>
        </is>
      </c>
      <c r="C6" s="15" t="inlineStr">
        <is>
          <t>Same command on both (update_data.py auto-detects); backtests are window-lenses over window-independent aggregates - instant.</t>
        </is>
      </c>
    </row>
    <row r="7" ht="35.05" customHeight="1" s="13">
      <c r="A7" s="18" t="inlineStr">
        <is>
          <t>Prices (TESTING ONLY)</t>
        </is>
      </c>
      <c r="B7" s="19" t="inlineStr">
        <is>
          <t>Bloomberg PX_LAST via blpapi, incremental append-only store, 287 symbols from 2021 (2017 after the extension command).</t>
        </is>
      </c>
      <c r="C7" s="19" t="inlineStr">
        <is>
          <t>Never a predictive input (test enforces it: compute_euphoria accepts no price argument). Defines ground-truth peaks + scores calls.</t>
        </is>
      </c>
    </row>
    <row r="8" ht="23.85" customHeight="1" s="13">
      <c r="A8" s="20" t="inlineStr">
        <is>
          <t>Comments (new)</t>
        </is>
      </c>
      <c r="B8" s="15" t="inlineStr">
        <is>
          <t>ingestion/fetch_reddit_comments.py - Arctic Shift comment endpoint, watermarked + backfillable; ~10x post volume.</t>
        </is>
      </c>
      <c r="C8" s="15" t="inlineStr">
        <is>
          <t>Feeds the Influence Tracker now; folding comments into the aggregates is the top capture-recovery lever (sheet 11).</t>
        </is>
      </c>
    </row>
    <row r="9" ht="35.05" customHeight="1" s="13">
      <c r="A9" s="18" t="inlineStr">
        <is>
          <t>Influence store (committed)</t>
        </is>
      </c>
      <c r="B9" s="19" t="inlineStr">
        <is>
          <t>data/reference/influence/: calls, author scores, reply edges - author names are public pseudonymous ids; NO text columns.</t>
        </is>
      </c>
      <c r="C9" s="19" t="inlineStr">
        <is>
          <t>Hard write-time check refuses text columns; per-machine ingest ledger stays local; every live run extends the store incrementally.</t>
        </is>
      </c>
    </row>
    <row r="10" ht="35.05" customHeight="1" s="13">
      <c r="A10" s="20" t="inlineStr">
        <is>
          <t>Coverage reality</t>
        </is>
      </c>
      <c r="B10" s="15" t="inlineStr">
        <is>
          <t>The Jan-2026 backfill is ~30x live daily volume; 2023-25 archive coverage is thin. 'Detectable' peaks = coverage existed in the alert window.</t>
        </is>
      </c>
      <c r="C10" s="15" t="inlineStr">
        <is>
          <t>Both capture rates (of all peaks / of detectable) are always reported; thin days draw as dotted bridges on charts, never invented values.</t>
        </is>
      </c>
    </row>
    <row r="11" s="13">
      <c r="A11" s="29" t="inlineStr">
        <is>
          <t>Comments decoupled (2026-07-24) - SUPERSEDED 2026-07-27</t>
        </is>
      </c>
      <c r="B11" s="29" t="inlineStr">
        <is>
          <t>Reddit comments left the daily pipeline; dedicated runner update_comments.py (upfront time estimate, resumable fetch, influence board update in one command) + matching dashboard button. update_data --with-comments restores the bundle for one run.</t>
        </is>
      </c>
      <c r="C11" s="29" t="inlineStr">
        <is>
          <t>Comments are the slow fetch: 10-50x post volume at the API's polite 1s/page - the daily pull should not pay for them. Influence store semantics unchanged (self-creates, zero-touch re-judging).</t>
        </is>
      </c>
      <c r="D11" s="29" t="inlineStr">
        <is>
          <t>fetch_all --skip-comments; update_comments.py; dashboard 'comments' plan</t>
        </is>
      </c>
    </row>
    <row r="12">
      <c r="A12" s="29" t="inlineStr">
        <is>
          <t>Dynamic subreddit panel (2026-07-24)</t>
        </is>
      </c>
      <c r="B12" s="29" t="inlineStr">
        <is>
          <t>Monthly watermarked review mines panel text for r/NAME referrals; a candidate with &gt;= 100 unique referrers/28d (PANEL_MIN_REFERRERS = the A0 floor, reused) that passes the same-ruler finance screen (ticker rate &gt;= 0.5x panel average) auto-joins the EXPLORATION tier; cap 1 add/review; CORE 17 frozen; audit manifest committed.</t>
        </is>
      </c>
      <c r="C12" s="29" t="inlineStr">
        <is>
          <t>The crowd tells you where it is moving (WSB-&gt;Superstonk) - same philosophy as the data-chosen single names. Cap + manifest + local by-subreddit aggregate exist because panel changes step the share denominator (the source_breadth lesson).</t>
        </is>
      </c>
      <c r="D12" s="29" t="inlineStr">
        <is>
          <t>ingestion/discover_subreddits.py; subreddit_panel.json; docs/panel_review_latest.md; TestDynamicPanel (4 tests)</t>
        </is>
      </c>
    </row>
    <row r="13">
      <c r="A13" s="29" t="inlineStr">
        <is>
          <t>Research/live split (2026-07-24)</t>
        </is>
      </c>
      <c r="B13" s="29" t="inlineStr">
        <is>
          <t>Live pulls score at FROZEN thresholds (seconds); the full validation (walk-forward + ablation + ML challenger + threshold selection) runs only on explicit --research, on year rollover (auto), on a missing report (auto), or on update_data --full (forced).</t>
        </is>
      </c>
      <c r="C13" s="29" t="inlineStr">
        <is>
          <t>The walk-forward trains each year's threshold on STRICTLY EARLIER years, so intra-year recompute is provably a no-op - research decides once, live scores. Phases' live threshold now selects on full prior years only (stable within a year by construction).</t>
        </is>
      </c>
      <c r="D13" s="29" t="inlineStr">
        <is>
          <t>run_analytics --research; euphoria.needs_research / phases.onset_needs_research; TestResearchLiveSplit</t>
        </is>
      </c>
    </row>
    <row r="14">
      <c r="A14" s="29" t="inlineStr">
        <is>
          <t>Terminal display policy (2026-07-24)</t>
        </is>
      </c>
      <c r="B14" s="29" t="inlineStr">
        <is>
          <t>EUPHORIA tabs list EVERY instrument alerted inside the selected window, newest alert first (no filler names). Single names show a STARTING flag only when the crowd cleared the FULL A1 hype bar (2x own 120d median) at the alert - really-euphoric names only, no flicker. Glossary + per-theme/per-ticker hit-rate tables added to the notebooks.</t>
        </is>
      </c>
      <c r="C14" s="29" t="inlineStr">
        <is>
          <t>Display policy, not a detector change: the research alerts are unchanged; the terminal holds tickers to the same 2x bar the ENDING detector already requires (existing frozen constant, no new number).</t>
        </is>
      </c>
      <c r="D14" s="29" t="inlineStr">
        <is>
          <t>dashboard.py render_euphoria_tab; euphoria_onset.parquet hype_raw column; NB04 per-name tables</t>
        </is>
      </c>
    </row>
    <row r="15">
      <c r="A15" s="29" t="inlineStr">
        <is>
          <t>Episode coherence + chart clarity (2026-07-24)</t>
        </is>
      </c>
      <c r="B15" s="29" t="inlineStr">
        <is>
          <t>ASYMMETRIC coherence rule on the terminal: a START within one 21d cooldown AFTER an END is suppressed (contradictory flip); an END after a START is never suppressed. Level charts show the 7d-smoothed curve (ROLL), the frozen threshold line, and highlight only alert-ELIGIBLE stretches (A1 gate) - plus a type-to-search lookup for any name.</t>
        </is>
      </c>
      <c r="C15" s="29" t="inlineStr">
        <is>
          <t>Measured, not assumed: the symmetric rule cost the top detector HALF its walk-forward captures (17-&gt;9) for 8 fewer FAs - fast manias genuinely run start-to-end inside a cooldown; the onset direction cost 2 captures and removed 7 FAs. Cooldown 21d = the existing one-episode constant; smoothing window = the existing ROLL=7.</t>
        </is>
      </c>
      <c r="D15" s="29" t="inlineStr">
        <is>
          <t>episode_coherent_alerts + TestEpisodeCoherence (4 tests); dashboard draw_chart</t>
        </is>
      </c>
    </row>
    <row r="16" s="13">
      <c r="A16" s="29" t="inlineStr">
        <is>
          <t>Comments BUDGETED back into the live pipeline (2026-07-27) - REVERSES row 11</t>
        </is>
      </c>
      <c r="B16" s="29" t="inlineStr">
        <is>
          <t>update_data.py fetches comments on EVERY run again (--with-comments is now accepted and ignored; --skip-comments is the new opt-out), but under a measured PAGE ALLOWANCE instead of uncapped. src/pipeline_budget.py computes it as (600s desk ceiling - this machine's MEASURED non-fetch stage seconds) x 1 req/s, then splits it across subreddits in proportion to the days each one owes, with a one-page anti-starvation floor. Two self-measuring EWMA ledgers back it: pipeline_stage_times.json (stage costs) and reddit_comments_cost.json (pages/day per subreddit); both are gitignored because they measure ONE machine's speed. update_comments.py survives as the UNBUDGETED runner for backfills and long-gap catch-up, and its hand-written time ranges were replaced by a ledger-computed estimate.</t>
        </is>
      </c>
      <c r="C16" s="29" t="inlineStr">
        <is>
          <t>WHY REVERSED: an influence board that rescores month-old comments is not a live board - row 11 optimised runtime at the cost of the tab's whole claim. WHY BUDGETED rather than simply switched back on: the cost was measured, not assumed. Intersecting comment-call rec_ids with reply_edges gives 12,010/417,208 = 2.879% call rate among comments, which against two independent months (403 and 414 comment-calls/day) implies ~14,000 comments/day = ~140 pages/day across the 17-sub panel - so a 7-day gap costs 16.3-16.8 min against the desk's ~10-min ceiling (caveat: the rate is measured on the edge-covered 48% of comment-calls). PIPELINE_BUDGET_S = 600 is the ONLY human-chosen number; alpha = 0.2 is DERIVED via the span identity 2/(N+1) with N = round(28/3.2) = 9, and the 5-day lookback is ceil(3.2)+1. REJECTED with reasons: a wall-clock stopwatch (data collected becomes a function of network luck, so no two runs compare and 'why did it stop there?' has no answer); parallel workers (W workers x 1s pauses = W req/s, breaking the politeness contract the project accepted when it chose a free public API); uniform window narrowing (penalises quiet subreddits to subsidise loud ones); per-subreddit yield ranking (the store has no subreddit column). The one legitimate speedup shipped: a Pacer sleeping the REMAINDER of the second instead of a flat second after each round-trip - 28% dead time removed at an unchanged request rate (261ms vs 360ms over 6 requests). Hitting a cap sets completed = False so the watermark does NOT advance: deferral, never loss - the board is never silently partial, only ever less fresh. Consequence the desk accepted: run the pipeline ~2x a week (the measured cadence is 3.32 days, i.e. what one allowance buys).</t>
        </is>
      </c>
      <c r="D16" s="29" t="inlineStr">
        <is>
          <t>src/pipeline_budget.py (allocate/allowance_pages/non_fetch_seconds); src/config.py COMMENT INGESTION BUDGET block; ingestion/fetch_reddit_comments.py Pacer + --max-pages; fetch_all.py --comment-pages; update_data.py stage timing; PARAMETER_REGISTER Class 7; ARCHITECTURE 3.1b + 3.1b-i; RESEARCH_REPORT changelog 2026-07-27 (o). Verified: 75 tests pass, real run wrote the ledger and the allowance self-corrected 449 -&gt; 465 pages, plus two no-network stub tests (cap/watermark/ledger semantics; all three fetch_all hand-off paths).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6" customWidth="1" style="13" min="1" max="1"/>
    <col width="46" customWidth="1" style="13" min="2" max="2"/>
    <col width="30" customWidth="1" style="13" min="3" max="3"/>
    <col width="24" customWidth="1" style="13" min="4" max="4"/>
    <col width="30" customWidth="1" style="13" min="5" max="5"/>
  </cols>
  <sheetData>
    <row r="1" ht="25.5" customHeight="1" s="13">
      <c r="A1" s="40" t="inlineStr">
        <is>
          <t>3b. Pipeline &amp; Cadence - when a number is allowed to change, and who is allowed to change it</t>
        </is>
      </c>
    </row>
    <row r="3">
      <c r="A3" s="41" t="inlineStr">
        <is>
          <t>Rule</t>
        </is>
      </c>
      <c r="B3" s="41" t="inlineStr">
        <is>
          <t>Definition</t>
        </is>
      </c>
      <c r="C3" s="41" t="inlineStr">
        <is>
          <t>Rationale</t>
        </is>
      </c>
      <c r="D3" s="41" t="inlineStr">
        <is>
          <t>Parameter(s)</t>
        </is>
      </c>
      <c r="E3" s="41" t="inlineStr">
        <is>
          <t>Status</t>
        </is>
      </c>
    </row>
    <row r="4">
      <c r="A4" s="34" t="inlineStr">
        <is>
          <t>A LIVE RUN NEVER RE-SELECTS (2026-07-28)</t>
        </is>
      </c>
      <c r="B4" s="35" t="inlineStr">
        <is>
          <t>update_data.py does not choose a model, re-select a threshold, or re-run the walk-forward, the ablation or the ML challenger. It refreshes data and scores it with the already-frozen winner, every time, so the run is one predictable job.</t>
        </is>
      </c>
      <c r="C4" s="35" t="inlineStr">
        <is>
          <t>DESK DECISION: 'why does the update_data have to check what is the best model everytime? shouldnt it just used the already pre established best model? no need to show me the stats everytime.' The deeper reason is defensibility, not speed: re-fitting on every run makes the number on screen untraceable. Nothing on disk would describe how today's threshold differs from yesterday's, and a threshold nobody can reconstruct cannot be defended in a review.</t>
        </is>
      </c>
      <c r="D4" s="35" t="inlineStr">
        <is>
          <t>None re-derived on a live run. The frozen record is data/processed/euphoria_desk_report.json.</t>
        </is>
      </c>
      <c r="E4" s="35" t="inlineStr">
        <is>
          <t>SHIPPED 2026-07-28</t>
        </is>
      </c>
    </row>
    <row r="5">
      <c r="A5" s="34" t="inlineStr">
        <is>
          <t>THE ONE EXCEPTION: the bootstrap</t>
        </is>
      </c>
      <c r="B5" s="35" t="inlineStr">
        <is>
          <t>A machine holding no frozen record at all derives one, once, before it can score anything.</t>
        </is>
      </c>
      <c r="C5" s="35" t="inlineStr">
        <is>
          <t>You cannot score against a record that does not exist. This is the whole of the exception - it is not a fallback that can trigger on a machine that already has a record.</t>
        </is>
      </c>
      <c r="D5" s="35" t="inlineStr">
        <is>
          <t>needs_research(stored) returns True only for `not stored or not stored.get('thresholds')`.</t>
        </is>
      </c>
      <c r="E5" s="35" t="inlineStr">
        <is>
          <t>SHIPPED</t>
        </is>
      </c>
    </row>
    <row r="6">
      <c r="A6" s="34" t="inlineStr">
        <is>
          <t>TWO EXPLICIT WAYS TO RE-OPEN RESEARCH</t>
        </is>
      </c>
      <c r="B6" s="35" t="inlineStr">
        <is>
          <t>`python -m analytics.run_analytics --what phases --research`, or `python update_data.py --full`.</t>
        </is>
      </c>
      <c r="C6" s="35" t="inlineStr">
        <is>
          <t>Both are typed on purpose and never reached by drift. --full counts as research BECAUSE A BACKFILL REWRITES THE HISTORY THE THRESHOLDS WERE CHOSEN ON: scoring rebuilt history against thresholds fitted on the old history would be a silent lookahead.</t>
        </is>
      </c>
      <c r="D6" s="35" t="inlineStr">
        <is>
          <t>--research forces re-derivation of thresholds and validation records.</t>
        </is>
      </c>
      <c r="E6" s="35" t="inlineStr">
        <is>
          <t>SHIPPED</t>
        </is>
      </c>
    </row>
    <row r="7">
      <c r="A7" s="34" t="inlineStr">
        <is>
          <t>STALENESS IS REPORTED, NOT REPAIRED</t>
        </is>
      </c>
      <c r="B7" s="35" t="inlineStr">
        <is>
          <t>When the frozen record stops at an earlier year than the data, the run prints ONE notice line and keeps scoring at the frozen threshold.</t>
        </is>
      </c>
      <c r="C7" s="35" t="inlineStr">
        <is>
          <t>A live run in this state is legitimate - it is out-of-sample use, which is exactly what a walk-forward licenses. Refitting in January because a new year began does not make the threshold more correct; it makes it a moving target that no stored record describes. So the pipeline tells the desk to run the research pass rather than quietly doing it.</t>
        </is>
      </c>
      <c r="D7" s="35" t="inlineStr">
        <is>
          <t>record_lags_data(stored, data_max_year) returns the newest covered year, else None.</t>
        </is>
      </c>
      <c r="E7" s="35" t="inlineStr">
        <is>
          <t>SHIPPED</t>
        </is>
      </c>
    </row>
    <row r="8">
      <c r="A8" s="34" t="inlineStr">
        <is>
          <t>NO STATS PRINTED ON A LIVE RUN</t>
        </is>
      </c>
      <c r="B8" s="35" t="inlineStr">
        <is>
          <t>Performance output belongs to the notebooks. The pipeline prints a data-coverage table, a window check, a run summary and the text-free safety-check verdict - operational facts, not research results.</t>
        </is>
      </c>
      <c r="C8" s="35" t="inlineStr">
        <is>
          <t>Same principle as the dashboard's no-performance-metrics decision: the notebooks are the research record, the operational surfaces state conclusions. 'if i need to know the stats i will use th enotebooks.'</t>
        </is>
      </c>
      <c r="D8" s="35" t="inlineStr">
        <is>
          <t>None.</t>
        </is>
      </c>
      <c r="E8" s="35" t="inlineStr">
        <is>
          <t>SHIPPED 2026-07-28 - see sheet '4. Detector Design'</t>
        </is>
      </c>
    </row>
    <row r="9">
      <c r="A9" s="34" t="inlineStr">
        <is>
          <t>CADENCE and the RUN BUDGET</t>
        </is>
      </c>
      <c r="B9" s="35" t="inlineStr">
        <is>
          <t>The pipeline is run roughly twice a week. A full refresh, influence included, must stay under about ten minutes.</t>
        </is>
      </c>
      <c r="C9" s="35" t="inlineStr">
        <is>
          <t>Alex's answer when asked directly, plus 'not really a bounded time budget, but a full update of the dashboard (like weekly) running shouldnt take more than ~10 minutes'. The budget is expressed as a number the code can enforce rather than as an intention.</t>
        </is>
      </c>
      <c r="D9" s="35" t="inlineStr">
        <is>
          <t>PIPELINE_BUDGET_S = 600 (src/config.py); ingestion budget in PARAMETER_REGISTER Class 7.</t>
        </is>
      </c>
      <c r="E9" s="35" t="inlineStr">
        <is>
          <t>SHIPPED</t>
        </is>
      </c>
    </row>
    <row r="10">
      <c r="A10" s="34" t="inlineStr">
        <is>
          <t>POINTER CORRECTION - recorded because it was wrong in shipped source</t>
        </is>
      </c>
      <c r="B10" s="35" t="inlineStr">
        <is>
          <t>analytics/euphoria.py promised this contract lived in DECISIONS.xlsx '2. Pipeline &amp; Cadence' and PARAMETER_REGISTER Class 6. Neither held it: sheet 2 is Literature, Class 6 is the influence tracker. This sheet and PARAMETER_REGISTER Class 9 were created to hold it, and the docstrings were repointed.</t>
        </is>
      </c>
      <c r="C10" s="35" t="inlineStr">
        <is>
          <t>Renumbering the existing sheets and classes would have been the other option and was rejected: every other cross-reference in the repo - source docstrings, the research report, the decks - would have broken silently. Creating the missing sections costs nothing and breaks nothing.</t>
        </is>
      </c>
      <c r="D10" s="35" t="inlineStr">
        <is>
          <t>analytics/euphoria.py::needs_research docstring, lines 788-789.</t>
        </is>
      </c>
      <c r="E10" s="35" t="inlineStr">
        <is>
          <t>FIXED 2026-07-28</t>
        </is>
      </c>
    </row>
  </sheetData>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E6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 min="1" max="1"/>
    <col width="46" customWidth="1" style="12" min="2" max="2"/>
    <col width="30" customWidth="1" style="12" min="3" max="3"/>
    <col width="24" customWidth="1" style="12" min="4" max="4"/>
    <col width="30" customWidth="1" style="12" min="5" max="5"/>
  </cols>
  <sheetData>
    <row r="1" ht="25.5" customHeight="1" s="13">
      <c r="A1" s="14" t="inlineStr">
        <is>
          <t>4. Euphoria Detector - every rule, its value, and its status</t>
        </is>
      </c>
    </row>
    <row r="3" ht="15" customHeight="1" s="13">
      <c r="A3" s="17" t="inlineStr">
        <is>
          <t>Rule</t>
        </is>
      </c>
      <c r="B3" s="17" t="inlineStr">
        <is>
          <t>Definition</t>
        </is>
      </c>
      <c r="C3" s="17" t="inlineStr">
        <is>
          <t>Rationale</t>
        </is>
      </c>
      <c r="D3" s="17" t="inlineStr">
        <is>
          <t>Parameter(s)</t>
        </is>
      </c>
      <c r="E3" s="17" t="inlineStr">
        <is>
          <t>Status</t>
        </is>
      </c>
    </row>
    <row r="4" ht="23.85" customHeight="1" s="13">
      <c r="A4" s="34" t="inlineStr">
        <is>
          <t>E1</t>
        </is>
      </c>
      <c r="B4" s="35" t="inlineStr">
        <is>
          <t>Attention extremity: trailing pct-rank of the 7d mention share (vs the name's own last 365d).</t>
        </is>
      </c>
      <c r="C4" s="35" t="inlineStr">
        <is>
          <t>You cannot be euphoric quietly [2].</t>
        </is>
      </c>
      <c r="D4" s="35" t="inlineStr">
        <is>
          <t>rank window 365d, min 180d</t>
        </is>
      </c>
      <c r="E4" s="35" t="inlineStr">
        <is>
          <t>Fixed a priori</t>
        </is>
      </c>
    </row>
    <row r="5" ht="57.45" customHeight="1" s="13">
      <c r="A5" s="36" t="inlineStr">
        <is>
          <t>E2</t>
        </is>
      </c>
      <c r="B5" s="37" t="inlineStr">
        <is>
          <t>Sustained bullishness: pct-rank of the 28d net-bullish share, x0 unless &gt;=75% of the last 28 POSTING days were net-bullish.</t>
        </is>
      </c>
      <c r="C5" s="37" t="inlineStr">
        <is>
          <t>Desk hypothesis 1: weeks of one-way lean, not one loud day. Persistence over posting days: a zero-post day is 'no evidence', not 'not bullish'.</t>
        </is>
      </c>
      <c r="D5" s="37" t="inlineStr">
        <is>
          <t>28d window, 75% persistence</t>
        </is>
      </c>
      <c r="E5" s="37" t="inlineStr">
        <is>
          <t>Fixed a priori</t>
        </is>
      </c>
    </row>
    <row r="6" ht="23.85" customHeight="1" s="13">
      <c r="A6" s="34" t="inlineStr">
        <is>
          <t>E3</t>
        </is>
      </c>
      <c r="B6" s="35" t="inlineStr">
        <is>
          <t>Crowd influx: pct-rank of the 28d CHANGE in mention share.</t>
        </is>
      </c>
      <c r="C6" s="35" t="inlineStr">
        <is>
          <t>The crowd is still arriving - late-stage contagion.</t>
        </is>
      </c>
      <c r="D6" s="35" t="inlineStr">
        <is>
          <t>28d diff</t>
        </is>
      </c>
      <c r="E6" s="35" t="inlineStr">
        <is>
          <t>Fixed a priori</t>
        </is>
      </c>
    </row>
    <row r="7" ht="46.25" customHeight="1" s="13">
      <c r="A7" s="36" t="inlineStr">
        <is>
          <t>E5</t>
        </is>
      </c>
      <c r="B7" s="37" t="inlineStr">
        <is>
          <t>Super-exponential ATTENTION growth: pct-rank of positive convexity of log(1+mentions, 7d-smoothed) over a rolling 60d quadratic fit.</t>
        </is>
      </c>
      <c r="C7" s="37" t="inlineStr">
        <is>
          <t>Sornette's bubble signature [3][4][7][8], applied to the crowd (Reddit-only rule): accelerating contagion must saturate.</t>
        </is>
      </c>
      <c r="D7" s="37" t="inlineStr">
        <is>
          <t>60d fit window</t>
        </is>
      </c>
      <c r="E7" s="37" t="inlineStr">
        <is>
          <t>Fixed a priori</t>
        </is>
      </c>
    </row>
    <row r="8" ht="23.85" customHeight="1" s="13">
      <c r="A8" s="34" t="inlineStr">
        <is>
          <t>LEVEL</t>
        </is>
      </c>
      <c r="B8" s="35" t="inlineStr">
        <is>
          <t>EUPHORIA LEVEL = 100 x mean(E1, E2, E3, E5).</t>
        </is>
      </c>
      <c r="C8" s="35" t="inlineStr">
        <is>
          <t>Equal weights - no fitted feature weights to overfit.</t>
        </is>
      </c>
      <c r="D8" s="35" t="inlineStr">
        <is>
          <t>-</t>
        </is>
      </c>
      <c r="E8" s="35" t="inlineStr">
        <is>
          <t>Fixed a priori</t>
        </is>
      </c>
    </row>
    <row r="9" ht="35.05" customHeight="1" s="13">
      <c r="A9" s="36" t="inlineStr">
        <is>
          <t>E4 fade</t>
        </is>
      </c>
      <c r="B9" s="37" t="inlineStr">
        <is>
          <t>Trigger sharpener: attention &gt;= 90th pct while the 14d bullish share change is NEGATIVE -&gt; alert threshold drops by 10 points.</t>
        </is>
      </c>
      <c r="C9" s="37" t="inlineStr">
        <is>
          <t>Desk hypothesis 2: crowd maximal, mood rolling over - historically the LAST stage before the top.</t>
        </is>
      </c>
      <c r="D9" s="37" t="inlineStr">
        <is>
          <t>discount 10 pts</t>
        </is>
      </c>
      <c r="E9" s="37" t="inlineStr">
        <is>
          <t>Fixed a priori</t>
        </is>
      </c>
    </row>
    <row r="10" ht="23.85" customHeight="1" s="13">
      <c r="A10" s="34" t="inlineStr">
        <is>
          <t>A0</t>
        </is>
      </c>
      <c r="B10" s="35" t="inlineStr">
        <is>
          <t>Coverage gate: &gt;= 100 scored posts in the last 28d.</t>
        </is>
      </c>
      <c r="C10" s="35" t="inlineStr">
        <is>
          <t>Percentile extremes on a handful of posts are noise wearing a costume.</t>
        </is>
      </c>
      <c r="D10" s="35" t="inlineStr">
        <is>
          <t>100 posts</t>
        </is>
      </c>
      <c r="E10" s="35" t="inlineStr">
        <is>
          <t>Fixed a priori</t>
        </is>
      </c>
    </row>
    <row r="11" ht="46.25" customHeight="1" s="13">
      <c r="A11" s="36" t="inlineStr">
        <is>
          <t>A1</t>
        </is>
      </c>
      <c r="B11" s="37" t="inlineStr">
        <is>
          <t>Hype prerequisite: 7d mention share &gt;= 2.0x its own trailing 120d MEDIAN.</t>
        </is>
      </c>
      <c r="C11" s="37" t="inlineStr">
        <is>
          <t>'Something must go euphoric first' - measured in the crowd, never the chart. Median (not min) so the gate cannot be vacuous.</t>
        </is>
      </c>
      <c r="D11" s="37" t="inlineStr">
        <is>
          <t>2.0x, 120d</t>
        </is>
      </c>
      <c r="E11" s="37" t="inlineStr">
        <is>
          <t>Fixed a priori</t>
        </is>
      </c>
    </row>
    <row r="12" ht="23.85" customHeight="1" s="13">
      <c r="A12" s="34" t="inlineStr">
        <is>
          <t>A2 / A2b</t>
        </is>
      </c>
      <c r="B12" s="35" t="inlineStr">
        <is>
          <t>Attention &gt;= 90th pct AND E2 &gt; 0 as hard prerequisites.</t>
        </is>
      </c>
      <c r="C12" s="35" t="inlineStr">
        <is>
          <t>Desk hypotheses 3 and 1 as gates, not just score components.</t>
        </is>
      </c>
      <c r="D12" s="35" t="inlineStr">
        <is>
          <t>0.90</t>
        </is>
      </c>
      <c r="E12" s="35" t="inlineStr">
        <is>
          <t>Fixed a priori</t>
        </is>
      </c>
    </row>
    <row r="13" ht="35.05" customHeight="1" s="13">
      <c r="A13" s="36" t="inlineStr">
        <is>
          <t>A3</t>
        </is>
      </c>
      <c r="B13" s="37" t="inlineStr">
        <is>
          <t>Level &gt;= threshold (or &gt;= threshold - 10 with fade active).</t>
        </is>
      </c>
      <c r="C13" s="37" t="inlineStr">
        <is>
          <t>THE trigger.</t>
        </is>
      </c>
      <c r="D13" s="37" t="inlineStr">
        <is>
          <t>threshold in {50..85}</t>
        </is>
      </c>
      <c r="E13" s="37" t="inlineStr">
        <is>
          <t>FITTED - walk-forward only, past years only; conservative default when training is empty</t>
        </is>
      </c>
    </row>
    <row r="14" ht="23.85" customHeight="1" s="13">
      <c r="A14" s="34" t="inlineStr">
        <is>
          <t>A4</t>
        </is>
      </c>
      <c r="B14" s="35" t="inlineStr">
        <is>
          <t>Cooldown: one alert per name per 21 days.</t>
        </is>
      </c>
      <c r="C14" s="35" t="inlineStr">
        <is>
          <t>One alert per episode - a manic month is one call, not twenty.</t>
        </is>
      </c>
      <c r="D14" s="35" t="inlineStr">
        <is>
          <t>21d</t>
        </is>
      </c>
      <c r="E14" s="35" t="inlineStr">
        <is>
          <t>Fixed a priori</t>
        </is>
      </c>
    </row>
    <row r="15" ht="46.25" customHeight="1" s="13">
      <c r="A15" s="36" t="inlineStr">
        <is>
          <t>Judging</t>
        </is>
      </c>
      <c r="B15" s="37" t="inlineStr">
        <is>
          <t>Alerts count only inside the judgeable window: price history exists at the alert AND for 45d after.</t>
        </is>
      </c>
      <c r="C15" s="37" t="inlineStr">
        <is>
          <t>Pre-price-history alerts are PENDING, not false - scoring them as FAs was a measured bug (fixed July 2026).</t>
        </is>
      </c>
      <c r="D15" s="37" t="inlineStr">
        <is>
          <t>45d</t>
        </is>
      </c>
      <c r="E15" s="37" t="inlineStr">
        <is>
          <t>Fixed a priori</t>
        </is>
      </c>
    </row>
    <row r="16">
      <c r="A16" s="34" t="n"/>
      <c r="B16" s="35" t="n"/>
      <c r="C16" s="35" t="n"/>
      <c r="D16" s="35" t="n"/>
      <c r="E16" s="35" t="n"/>
    </row>
    <row r="17" ht="57.45" customHeight="1" s="13">
      <c r="A17" s="38" t="inlineStr">
        <is>
          <t>NOTE</t>
        </is>
      </c>
      <c r="B17" s="39" t="inlineStr">
        <is>
          <t>The one deliberate trade: an earlier variant also used price features (log-price convexity + a price-boom gate) and captured 46% of detectable peaks. The Reddit-only rule gives that up for the clean claim. The delta is quantified on sheet 5 and the recovery path on sheet 11.</t>
        </is>
      </c>
      <c r="C17" s="39" t="n"/>
      <c r="D17" s="39" t="n"/>
      <c r="E17" s="39" t="n"/>
    </row>
    <row r="18">
      <c r="A18" s="34" t="n"/>
      <c r="B18" s="35" t="n"/>
      <c r="C18" s="35" t="n"/>
      <c r="D18" s="35" t="n"/>
      <c r="E18" s="35" t="n"/>
    </row>
    <row r="19">
      <c r="A19" s="34" t="inlineStr">
        <is>
          <t>GAUGE (display, 2026-07-27)</t>
        </is>
      </c>
      <c r="B19" s="35" t="inlineStr">
        <is>
          <t>A speedometer above every theme and every ticker chart. Needle = the 7d-smoothed euphoria level (0-100) read at the last day of the selected window; delta = the same curve ROLL=7 days earlier; bands = calm below 76, warming 76-84, RED ZONE 85+. Wired inside draw_chart, which runs once per instrument in BOTH tabs, so 'for each theme / ticker' is structural rather than duplicated code.</t>
        </is>
      </c>
      <c r="C19" s="35" t="inlineStr">
        <is>
          <t>DESK REQUEST, verbatim: 'a very clear speedometer thing for each graph (and showing the change) for each theme / ticker'. The construction constraint was that a dial is the most compressive exhibit on the project - a PM reads one number and one colour and acts - so it was built to introduce exactly ONE new number. The needle is not a new quantity (it is literally the object the lower panel already plots, so dial and chart cannot disagree - unit-tested) and the red edge is not a new number either (see next row).</t>
        </is>
      </c>
      <c r="D19" s="35" t="inlineStr">
        <is>
          <t>needle = ROLL(7); bands from docs/research/gauge_zones.json</t>
        </is>
      </c>
      <c r="E19" s="35" t="inlineStr">
        <is>
          <t>SHIPPED - 9 tests (84 -&gt; 93)</t>
        </is>
      </c>
    </row>
    <row r="20">
      <c r="A20" s="34" t="inlineStr">
        <is>
          <t>GAUGE RED EDGE = 85</t>
        </is>
      </c>
      <c r="B20" s="35" t="inlineStr">
        <is>
          <t>Read at import time out of data/processed/euphoria_report.json's thresholds dict - the level the walk-forward already selected for the ENDING alert, which is 85 in every test year 2018-2026.</t>
        </is>
      </c>
      <c r="C20" s="35" t="inlineStr">
        <is>
          <t>A gauge that chose its own red edge would be a SECOND, SOFTER THRESHOLD competing with the detector, and the dashboard would then hold two different opinions about when euphoria is dangerous. A unit test asserts equality with the report; notebook 06 asserts the walk-forward agreed across years, on the stated grounds that if it had NOT, a single red edge would be a fiction and the honest exhibit would be each year's own level.</t>
        </is>
      </c>
      <c r="D20" s="35" t="inlineStr">
        <is>
          <t>85 (level units) - NOT a new constant</t>
        </is>
      </c>
      <c r="E20" s="35" t="inlineStr">
        <is>
          <t>LEARNED (reused) - unit-tested against euphoria_report.json</t>
        </is>
      </c>
    </row>
    <row r="21">
      <c r="A21" s="34" t="inlineStr">
        <is>
          <t>GAUGE AMBER EDGE = 76</t>
        </is>
      </c>
      <c r="B21" s="35" t="inlineStr">
        <is>
          <t>The lowest cut on a 2-point grid from 68 whose 95% PAIRED cluster-bootstrap lower bound on P(drop | level&gt;=L) - P(drop | level&lt;L) excludes zero under ALL FIVE seeds. Outcome graded is the desk's own '&lt;1 month' horizon, unchanged from the desk-signal study: does a fall of &gt;=10% over 7 days START within the next 30 days (implemented as a reversed rolling max; the last 30+7=37 days are NaN, because scoring an incomplete look-ahead as 'no drop' would bias the base rate down exactly at the live edge). Resampling unit is the INSTRUMENT, never the day.</t>
        </is>
      </c>
      <c r="C21" s="35" t="inlineStr">
        <is>
          <t>THE ONE NEW NUMBER, and the route to it is the methodological point. (i) THE OBVIOUS TEST WAS THE WRONG TEST: comparing a 95% CI for P(drop | level&gt;=L) against a 95% CI for the base rate found NOTHING significant at any cut from 40 to 95. That is the overlapping-confidence-interval fallacy, not a null result - with 59 instruments both intervals are wide and overlap everywhere, and two overlapping intervals do not mean the difference is zero. Bootstrapping the DIFFERENCE (state minus not-state) on the SAME resampled instruments cancels the shared instrument-level noise and recovers a significant effect at every cut from 76 up. This first method ships nowhere; it is recorded here and in NB06's prose, with no code left behind. (ii) WHY NAMES AND NOT DAYS: adjacent days on one instrument are the same episode, so a day-level bootstrap would treat 4,000 days of one mania as 4,000 independent facts and report an interval several times too tight. (iii) WHY 76 AND NOT 74: the rule was stated before the grid was run, and cut 74 FLIPS SIGN across seeds (-0.0004, +0.0009, -0.0012, -0.0007, +0.0004) while cut 76 does not (+0.0045, +0.0060, +0.0049, +0.0034, +0.0046). A cut that changes sign with the random seed is not a parameter. Honest limitation recorded: this edge is selected in-sample on the full panel, not walk-forward - which is precisely why it colours a DISPLAY band and never fires a trigger.</t>
        </is>
      </c>
      <c r="D21" s="35" t="inlineStr">
        <is>
          <t>76 (level units); grid 68-90 step 2, 5 seeds, 4,000 reps</t>
        </is>
      </c>
      <c r="E21" s="35" t="inlineStr">
        <is>
          <t>LEARNED by a pre-stated rule - grid in gauge_zones.json</t>
        </is>
      </c>
    </row>
    <row r="22">
      <c r="A22" s="34" t="inlineStr">
        <is>
          <t>GAUGE - what each band is WORTH</t>
        </is>
      </c>
      <c r="B22" s="35" t="inlineStr">
        <is>
          <t>Measured on 183,394 name-days / 59 instruments / 2017-06-29 to 2026-06-15. Base rate 23.3%. level&gt;=76: 26.9% (n=11,235, +3.9pp, CI [+0.6,+7.4]). level&gt;=85: 30.4% (n=4,203, +7.3pp [+2.1,+12.8]). Danger state alone (crowd 2x own median AND price boom): 53.8% (n=3,819, +31.2pp [+22.2,+40.1]). level&gt;=85 AND danger state: 71.4% (n=454, +48.2pp [+34.3,+59.5]).</t>
        </is>
      </c>
      <c r="C22" s="35" t="inlineStr">
        <is>
          <t>THE DIAL ADMITS ITS OWN WEAKNESS ON ITS FACE. The level ALONE at the red edge is 30% against a 23% base rate - only ~1.3x. The level TOGETHER WITH the danger state is 71% against 23% - ~3.1x. So the caption under every dial quotes the measured risk of the band the needle is actually in rather than a generic legend, and says the weak/strong distinction in words. A unit test pins P(red AND danger) &gt; P(red) so the exhibit can never be re-worded into implying the needle is sufficient on its own. Every percentage printed is read from gauge_zones.json; a test greps the function body to prove neither edge is a literal in dashboard.py, and with the JSON absent the dial DECLINES TO EXIST rather than inventing bands.</t>
        </is>
      </c>
      <c r="D22" s="35" t="inlineStr">
        <is>
          <t>all figures live in docs/research/gauge_zones.json</t>
        </is>
      </c>
      <c r="E22" s="35" t="inlineStr">
        <is>
          <t>MEASURED - written by notebook 06's own code</t>
        </is>
      </c>
    </row>
    <row r="23">
      <c r="A23" s="34" t="inlineStr">
        <is>
          <t>GAUGE - STATE, never an instruction</t>
        </is>
      </c>
      <c r="B23" s="35" t="inlineStr">
        <is>
          <t>gauge_state returns descriptive labels only: 'calm', 'warming', 'RED ZONE', 'RED ZONE + already run up'. A caption beside every dial states that GET IN and GET OUT come from the walk-forward detector and can fire with the needle anywhere.</t>
        </is>
      </c>
      <c r="C23" s="35" t="inlineStr">
        <is>
          <t>A dial next to a trade signal will be read as a trade signal unless it is explicitly fenced. A unit test asserts the words 'get in' and 'get out' can never appear in a band label, at any level, in or out of the danger state.</t>
        </is>
      </c>
      <c r="D23" s="35" t="inlineStr">
        <is>
          <t>n/a - invariant</t>
        </is>
      </c>
      <c r="E23" s="35" t="inlineStr">
        <is>
          <t>INVARIANT - unit-tested</t>
        </is>
      </c>
    </row>
    <row r="24">
      <c r="A24" s="34" t="inlineStr">
        <is>
          <t>GAUGE - two layout defects found only by RENDERING and LOOKING</t>
        </is>
      </c>
      <c r="B24" s="35" t="inlineStr">
        <is>
          <t>(i) plotly draws an Indicator `title` inside the SAME domain as the arc, so the two-line header was struck through by the navy value bar; the header is now paper-space annotations in the top margin. (ii) The value bar was thinned from thickness 0.28 to 0.15.</t>
        </is>
      </c>
      <c r="C24" s="35" t="inlineStr">
        <is>
          <t>The desk has twice previously rejected charts for label-collision defects, and this project's own standard for the dial is that it and the curve beneath it 'can never disagree' - an illegible dial disagrees with everything. The bar thinning matters for the same reason: at 0.28 the navy sweep covered the very band colours it is supposed to be read against, so the red zone stopped being visible at exactly the moment it mattered. Both were invisible in code review and obvious in a rendered PNG.</t>
        </is>
      </c>
      <c r="D24" s="35" t="inlineStr">
        <is>
          <t>height 268, margin t=64/b=36, bar thickness 0.15</t>
        </is>
      </c>
      <c r="E24" s="35" t="inlineStr">
        <is>
          <t>FIXED - re-rendered and visually re-checked</t>
        </is>
      </c>
    </row>
    <row r="25" s="13">
      <c r="A25" s="34" t="inlineStr">
        <is>
          <t>Feature bank HAND-SPECIFIED, not searched</t>
        </is>
      </c>
      <c r="B25" s="35" t="inlineStr">
        <is>
          <t>The five onset features (attention_accel, hype_ratio, bull_inflection, influx_speed, attention_convexity) were each specified by hand, and every window inside them is a constant already validated elsewhere in the project: ROLL=7, the A1 120d hype baseline, the fade rule's 14d, E5's 60d LPPLS window. No stepwise selection, no L1 path, no genetic/automated search over the daily aggregates was used.</t>
        </is>
      </c>
      <c r="C25" s="35" t="inlineStr">
        <is>
          <t>CONSIDERED AND REFUSED, and the reason is the SAMPLE, not a taste for handwork. The plausibly-independent unit of evidence here is the INSTRUMENT - 59 of them - not the day; the daily rows inside one name are one episode seen 4,000 times. A search that scores candidates against 183k daily rows is therefore choosing among thousands of options on an effective n of 59, which is exactly the regime where selection noise dominates and the in-sample winner does not survive walk-forward. Because every window is inherited, no feature adds a degree of freedom that a test year has not already seen. THE COST IS STATED OPENLY rather than hidden: per-feature AUROCs are only 0.51-0.60, and a search would very likely have posted better IN-SAMPLE numbers - that is the trade, made deliberately, and it is the same trade [1] sec 6.2.3 makes.</t>
        </is>
      </c>
      <c r="D25" s="35" t="inlineStr">
        <is>
          <t>n/a - a methodology choice, not a fitted number</t>
        </is>
      </c>
      <c r="E25" s="35" t="inlineStr">
        <is>
          <t>RECORDED 2026-07-27 (the decision itself dates from 2026-07-24; it had only ever been implicit, and the audit found it was recorded nowhere)</t>
        </is>
      </c>
    </row>
    <row r="26">
      <c r="A26" s="34" t="inlineStr">
        <is>
          <t>THREE euphoria stores kept - none is a loser to delete</t>
        </is>
      </c>
      <c r="B26" s="35" t="inlineStr">
        <is>
          <t>euphoria_desk.parquet + euphoria_desk_report.json = THE HEADLINE GET IN / GET OUT the euphoria tabs draw (dashboard.py:1732). euphoria_onset.parquet = the documented FALLBACK used only when the desk store is absent (dashboard.py:1750). euphoria_report.json = the FROZEN WALK-FORWARD thresholds, and the source of the gauge's red edge = 85 (dashboard.py:1887) plus the scorecard fallback (dashboard.py:2211).</t>
        </is>
      </c>
      <c r="C26" s="35" t="inlineStr">
        <is>
          <t>The audit question was 'which report does the dashboard treat as headline, and remove the loser'. The answer is that there is no loser: the three stores do three different jobs and each is load-bearing. Removing the onset store would turn a graceful degradation into a crash on a fresh clone. Removing euphoria_report.json would be worse - it would turn the gauge's red edge from a number READ BACK OUT of the walk-forward into a hard-coded 85, i.e. it would manufacture exactly the arbitrary threshold the whole project exists to avoid. Recorded so the question is not re-opened at a defence.</t>
        </is>
      </c>
      <c r="D26" s="35" t="inlineStr">
        <is>
          <t>GET IN 0.8481409001956947 / GET OUT 0.6302309197651663 (desk report); red edge 85 (walk-forward, every test year 2018-2026)</t>
        </is>
      </c>
      <c r="E26" s="35" t="inlineStr">
        <is>
          <t>RESOLVED 2026-07-27 - nothing removed, and now documented</t>
        </is>
      </c>
    </row>
    <row r="27">
      <c r="A27" s="34" t="inlineStr">
        <is>
          <t>notebooks/PROJECT_SUMMARY.md DELETED</t>
        </is>
      </c>
      <c r="B27" s="35" t="inlineStr">
        <is>
          <t>A 28KB unreferenced 'complete project guide' / reading-guide, last coherent before the 2026-07-24 desk pivot. Referenced by no code, no doc, no test.</t>
        </is>
      </c>
      <c r="C27" s="35" t="inlineStr">
        <is>
          <t>DELETED BECAUSE IT HAD BECOME A CONTRADICTION SOURCE against the research report inside the same repo - the single most dangerous artefact to leave lying around before a defence. 19 of its headline numbers were stale or outright wrong: episodes 211 vs the true 333; data period 2021-2026 vs 2017-2026; onset capture 66% vs the measured 23.2%; top capture 68% vs the measured 13.1%; false alarms '0.23 budget maintained' vs the measured 0.348, i.e. 50% OVER budget, which the report lists as Limitation 4 'not hidden, not excused'; lead time '17 days BEFORE episode starts' vs the measured 17 days AFTER the trough - SIGN-FLIPPED; onset AP 0.0062 vs 0.098, off by ~16x; test years '2025-2026 only' vs 2018-2026; alert precision '~75%' vs the measured 0.21 START / 0.34 END; START edge '+2-5% vs baseline' vs the measured -0.81% at 21d with a CI containing zero. It also INVENTED a ground-truth rule that exists nowhere in the code ('G3 duration &gt;= 10 calendar days') and preserved a FALSE record of why phase-aware gating was rejected ('requires cheating') when the real recorded reason is measured and different. THREE UNIQUE ITEMS WERE MIGRATED BEFORE DELETION so no learning was lost: (i) the hand-specified-vs-searched rejection -&gt; the row above + RESEARCH_REPORT sec 5.2; (ii) the bootstrap replication count -&gt; PARAMETER_REGISTER Class 3; (iii) three primary citations (Hanley &amp; McNeil 1982, van Rijsbergen 1979, Matthews 1975) -&gt; References 15-17. Two further unique items were deliberately NOT migrated: its asset-class scope caveat (contradicted by the commodities-in-universe decision) and its crowd-lag rationale for the 7d windows (unmeasured assertion). Side benefit: it was the ONLY file in the repo carrying true emoji (15 codepoints) plus a U+FFFD corruption, so its removal closes the 'remove emojis' task.</t>
        </is>
      </c>
      <c r="D27" s="35" t="inlineStr">
        <is>
          <t>n/a - a document, no parameters</t>
        </is>
      </c>
      <c r="E27" s="35" t="inlineStr">
        <is>
          <t>DELETED 2026-07-27 after a line-by-line uniqueness audit against RESEARCH_REPORT / PARAMETER_REGISTER / ARCHITECTURE / README</t>
        </is>
      </c>
    </row>
    <row r="28" s="13">
      <c r="A28" s="34" t="inlineStr">
        <is>
          <t>EUPHORIA PANEL quotes the threshold that actually FIRED (2026-07-28)</t>
        </is>
      </c>
      <c r="B28" s="35" t="inlineStr">
        <is>
          <t>The lower panel now draws the frozen DESK threshold that gated the flags on screen (GET OUT 0.6302 / GET IN 0.8481, x100 onto the panel's existing 0-100 axis) and overlays the desk SCORE that crossed it, as lines+markers with connectgaps=False. Only alert kinds that actually fired inside the window are drawn. The level-detector's 85 line survives ONLY on the no-desk-store fallback path, where the level really is the decider.</t>
        </is>
      </c>
      <c r="C28" s="35" t="inlineStr">
        <is>
          <t>BUG FIX, and the desk's complaint was a correct reading of a WRONG CHART. Verbatim: 'its quite unclear to see WHEN is the actual change / or get out flag - i want it to be like a clear peak or something (as right now its like flat and then suddently a get out flag)'. The old panel drew ONE dotted line at the level-detector's walk-forward threshold (85) and plotted the euphoria LEVEL against it - but when the desk store is present, which is the normal case, the flags are produced by the desk score crossing its OWN threshold. MEASURED over all 95 GET OUT alerts in the store: the plotted level was BELOW the drawn 85 line on 79 of them (83%), median plotted level at a GET OUT 74.8. So the chart showed a curve sitting comfortably under the line it said mattered, and then a flag appeared anyway. Nothing about the signal changed; the chart stopped contradicting it. The score is drawn sparse-by-construction (out_score exists on 2.5% of name-days, in runs as short as one day) because the gaps are information: no score means 'not judgeable here'.</t>
        </is>
      </c>
      <c r="D28" s="35" t="inlineStr">
        <is>
          <t>No new number. GET OUT 0.6302309197651663 / GET IN 0.8481409001956947 read from euphoria_desk_report.json; x100 for the shared axis</t>
        </is>
      </c>
      <c r="E28" s="35" t="inlineStr">
        <is>
          <t>SHIPPED 2026-07-28 - PARAMETER_REGISTER Class 8</t>
        </is>
      </c>
    </row>
    <row r="29" s="13">
      <c r="A29" s="34" t="inlineStr">
        <is>
          <t>PEAK MARKER on the euphoria curve (2026-07-28)</t>
        </is>
      </c>
      <c r="B29" s="35" t="inlineStr">
        <is>
          <t>The window maximum of the 7d-smoothed display curve is marked with a dot and a dated label ('peak 99 - 27 Jun'), with the value and full date in the hover. Passed to plotly as pd.DatetimeIndex([d]), not as a bare [Timestamp].</t>
        </is>
      </c>
      <c r="C29" s="35" t="inlineStr">
        <is>
          <t>DESK REQUEST, verbatim: 'i want it to be like a clear peak or something'. It is a LABEL on a value already plotted, not a new quantity and not a threshold - nothing about the signal changes if it is removed, which is the test for whether a display addition is safe. The DatetimeIndex detail is a real defect avoided rather than a style note: a bare Timestamp inside a Python list survives the live app (streamlit serialises through plotly's own encoder) but is NOT JSON-serialisable by kaleido, so a one-element list silently breaks static PNG export - and these panels are exported for the LaTeX decks.</t>
        </is>
      </c>
      <c r="D29" s="35" t="inlineStr">
        <is>
          <t>n/a - a label on the plotted curve</t>
        </is>
      </c>
      <c r="E29" s="35" t="inlineStr">
        <is>
          <t>SHIPPED 2026-07-28</t>
        </is>
      </c>
    </row>
    <row r="30" s="13">
      <c r="A30" s="34" t="inlineStr">
        <is>
          <t>GAUGE answers 'now' AND 'this window' (2026-07-28)</t>
        </is>
      </c>
      <c r="B30" s="35" t="inlineStr">
        <is>
          <t>The big needle still reads TODAY (the last day of the selected window). Added behind it: the window's high-water mark as one dated line - 'window high 99 (RED ZONE) on 27 Jun', or 'this IS the window's high point' when the two are within 1 point. Drawn as TEXT, not a second needle. Frame grows 268 -&gt; 300px, bottom margin 36 -&gt; 74px. Separately, the standing explanation moved off the page into the info hover (help=), leaving one headline line beside each dial.</t>
        </is>
      </c>
      <c r="C30" s="35" t="inlineStr">
        <is>
          <t>BUG FIX BY EXPLANATION - no edge moved and no number was invented. Desk report: 'the gauge, it seems to alwahys show calm'. The dial was not stuck. MEASURED over the default window (2026-01-01 -&gt; latest): 50 of 59 instruments read calm at the last day while 17 of those SAME names touched the RED ZONE somewhere inside the window. Both are true at once because the page is ordered by MOST RECENT SIGNAL, so a name earns its place with an episode that may have peaked months ago while the needle - correctly - reports today. A dial that answers 'how hot is it now?' on a name selected for 'it was hot recently' reads calm almost always and looks broken while being right. Softening an edge to make it look busier would have been exactly the arbitrary-threshold move this project refuses; making the dial answer both questions costs nothing and is honest. TEXT rather than a second needle because plotly's Indicator has a single threshold slot and it already carries the red edge as a hard line (colour alone does not survive greyscale or a projector); faking a second needle means drawing shapes against the arc's internal geometry in paper space, fragile across plotly versions, and two needles on a 268px dial reads worse than one sentence. The hover move is the desk's own instruction ('dont need to explain it fully all the time, maybe an info icon hover or something'): the dial used to print a measured-percentage paragraph plus a four-sentence caption on EVERY chart, so a page of six names carried the same ~90 words six times. The evidence is not deleted or weakened - it is one hover away, available when someone challenges the band and silent when nobody is asking.</t>
        </is>
      </c>
      <c r="D30" s="35" t="inlineStr">
        <is>
          <t>No edge changed: red 85, amber 76. Display only: valueformat '.0f' on number and delta (a tenth of a percentile-rank index is below the resolution of the input)</t>
        </is>
      </c>
      <c r="E30" s="35" t="inlineStr">
        <is>
          <t>SHIPPED 2026-07-28 - PARAMETER_REGISTER Class 8</t>
        </is>
      </c>
    </row>
    <row r="31">
      <c r="A31" s="34" t="inlineStr">
        <is>
          <t>ONE READINESS LINE replaces the five-overlay euphoria panel (2026-07-28)</t>
        </is>
      </c>
      <c r="B31" s="35" t="inlineStr">
        <is>
          <t>The panel now draws one series per firing rule: readiness = deciding score / that rule's frozen threshold x 100. The firing line is therefore ALWAYS 100, for every name, every rule, every window. Both rules share one dotted line. Near-misses are drawn too (any rule whose score exists in the window), and gaps stay gaps (connectgaps=False). The raw level, the smoothed level, the eligibility ribbon and the second threshold line are off the panel; the level now lives on the dial above it.</t>
        </is>
      </c>
      <c r="C31" s="35" t="inlineStr">
        <is>
          <t>DISPLAY DERIVATION - no new quantity, no number moved. Desk report: 'the euphoria charts are still way too messy. i dont get what is activating a signal, is it a crossing? inflection? i just want one line'. It IS a crossing - alerts_from_scores fires on score &gt;= threshold with a 21-day cooldown, and there is no inflection test anywhere in the firing path - but the old panel could not show that: five elements at equal weight, and the two thresholds (GET IN 0.848141, GET OUT 0.630231) at DIFFERENT heights, so neither line meant 'the line'. Dividing each score by its own threshold is what lets one line mean it. Near-misses are drawn because with the level gone, a name that never alerted would otherwise show an empty panel - and a line that climbs to 80 and turns over IS the answer to 'why did nothing fire here?'.</t>
        </is>
      </c>
      <c r="D31" s="35" t="inlineStr">
        <is>
          <t>Same stored scores, same frozen thresholds (0.630231 / 0.848141), divided. ALERT DATES ARE BIT-IDENTICAL; the vertical signal lines still come from `coherent`. Measured sparsity, since it is visible on screen: over 63,345 name-days the deciding score exists on 2.5% of days for GET OUT and 48.8% for GET IN; the 1,600 GET OUT scored days form 160 runs of MEDIAN LENGTH 7 DAYS (mean 10, max 91, only 28 single days).</t>
        </is>
      </c>
      <c r="E31" s="35" t="inlineStr">
        <is>
          <t>SHIPPED 2026-07-28 - PARAMETER_REGISTER Class 8 (continued)</t>
        </is>
      </c>
    </row>
    <row r="32">
      <c r="A32" s="34" t="inlineStr">
        <is>
          <t>PERFORMANCE METRICS REMOVED from the dashboard (2026-07-28)</t>
        </is>
      </c>
      <c r="B32" s="35" t="inlineStr">
        <is>
          <t>No hit rate, lead time, false-alarm count or confidence interval appears anywhere on the dashboard. All performance reporting lives in the notebooks, notebook 07 in particular.</t>
        </is>
      </c>
      <c r="C32" s="35" t="inlineStr">
        <is>
          <t>DESK DECISION. 'remove the hit rate etc stuff (the perfomance metrics) in the dashboard i will just keep this for the notebooks only.' Consistent with the standing split: the notebooks are the research record, the dashboard states conclusions only.</t>
        </is>
      </c>
      <c r="D32" s="35" t="inlineStr">
        <is>
          <t>SCOPE, stated so it can be challenged: headline performance reporting is gone everywhere, but the justification numbers inside decisions_simple() / DECISIONS_DOC and the band-meaning percentages in gauge_caption() were KEPT. Removing those would leave every remaining choice on the page looking arbitrary, which is the failure mode the parameter register exists to prevent. Alex can override.</t>
        </is>
      </c>
      <c r="E32" s="35" t="inlineStr">
        <is>
          <t>SHIPPED 2026-07-28 - PARAMETER_REGISTER Class 8 (continued)</t>
        </is>
      </c>
    </row>
    <row r="33">
      <c r="A33" s="34" t="inlineStr">
        <is>
          <t>PANEL LAYOUT: header, then dial + facts on ONE row, then the chart (2026-07-28)</t>
        </is>
      </c>
      <c r="B33" s="35" t="inlineStr">
        <is>
          <t>The instrument name is a single compact header line with its symbol and state badge. The dial shares one row with five facts: state, today's reading, the 7-day change, the window peak, the last signal. The figure follows immediately with title=None and an 8px top margin.</t>
        </is>
      </c>
      <c r="C33" s="35" t="inlineStr">
        <is>
          <t>DESK DECISION. 'arrange the dashboard better / like title of ticker / guage + some elements next to it / then chart / essentially using less white space'. The old stack paid for a half-used dial row plus a second title strip inside the figure's own 55px top margin - per name, which on a six-name page is most of a screen spent on furniture.</t>
        </is>
      </c>
      <c r="D33" s="35" t="inlineStr">
        <is>
          <t>The five facts all answer WHERE THIS NAME IS. None answers how well the detector has done - that is the no-performance-metrics decision above, honoured in the one place where there was now room to break it.</t>
        </is>
      </c>
      <c r="E33" s="35" t="inlineStr">
        <is>
          <t>SHIPPED 2026-07-28 - PARAMETER_REGISTER Class 8 (continued)</t>
        </is>
      </c>
    </row>
    <row r="34">
      <c r="A34" s="34" t="inlineStr">
        <is>
          <t>PLAIN-ENGLISH OPENER KEPT ('what is euphoria - start here') (2026-07-28)</t>
        </is>
      </c>
      <c r="B34" s="35" t="inlineStr">
        <is>
          <t>The plain-English explainer at the top of the dashboard stays.</t>
        </is>
      </c>
      <c r="C34" s="35" t="inlineStr">
        <is>
          <t>DESK DECISION, explicitly retained: 'keep the what is euphoria- start here - plan english on the dasboard, i like it'. Recorded because it was kept during a pass whose whole direction was removal.</t>
        </is>
      </c>
      <c r="D34" s="35" t="inlineStr">
        <is>
          <t>None. Prose only.</t>
        </is>
      </c>
      <c r="E34" s="35" t="inlineStr">
        <is>
          <t>SHIPPED 2026-07-28 - kept on instruction</t>
        </is>
      </c>
    </row>
    <row r="35">
      <c r="A35" s="34" t="inlineStr">
        <is>
          <t>GET IN lead time reported on TWO CLOCKS (2026-07-28)</t>
        </is>
      </c>
      <c r="B35" s="35" t="inlineStr">
        <is>
          <t>Notebook 07's final scorecard carries two separate rows: 'days from alert to the peak' and 'days from the trough to the alert'. For GET OUT the first IS the warning and the second is n/a. For GET IN the first is the rally still ahead (69 days) and the second is the entry lag (16.5 days).</t>
        </is>
      </c>
      <c r="C35" s="35" t="inlineStr">
        <is>
          <t>CORRECTION of a reporting defect introduced by the scorecard itself. A single 'median warning' row collapsed two different clocks into one label, and for a START signal it printed 69 days - arithmetically correct, editorially wrong, and in direct contradiction with the shipped record (16) and the deck (17 after the trough / 66 ahead). A PM comparing the two would have been right to distrust both.</t>
        </is>
      </c>
      <c r="D35" s="35" t="inlineStr">
        <is>
          <t>No detector change. The saved final_verdict['get_in']['median_lead_d'] now uses the after-trough clock (the shipped record's convention) with median_rally_ahead_d carrying the other. 16.5 here vs 16 in the record is the SAME statistic: euphoria_phases.py truncates with int(np.median(...)).</t>
        </is>
      </c>
      <c r="E35" s="35" t="inlineStr">
        <is>
          <t>SHIPPED 2026-07-28 - notebook 07 PART D</t>
        </is>
      </c>
    </row>
    <row r="36">
      <c r="A36" s="34" t="inlineStr">
        <is>
          <t>SHORT DECK rewritten as an adoption case, v1.1 (2026-07-28)</t>
        </is>
      </c>
      <c r="B36" s="35" t="inlineStr">
        <is>
          <t>docs/presentation/retailradar_short.tex rewritten end to end. Every slide leads with what the desk gets and closes with the evidence for it. The three negative-result slides stay, reframed as the warrant for the positive ones rather than as a hedge. Closes with an explicit ask: run it live on the book for a quarter.</t>
        </is>
      </c>
      <c r="C36" s="35" t="inlineStr">
        <is>
          <t>DESK DECISION. 'change the tone of hte presentation files (the tex) to be like more positive towards the project... i need to sell this project to my boss to adopt'. Scope was confirmed with Alex as the 15-slide short deck ONLY; retailradar_presentation.tex is deliberately untouched.</t>
        </is>
      </c>
      <c r="D36" s="35" t="inlineStr">
        <is>
          <t>NOT ONE FIGURE WAS CHANGED to achieve the tone - every number in the deck is the number the notebooks print. That fact is stated in the .tex header block so it survives a challenge. Build verified: 15 pages, 0 overfull vbox, 0 errors, against a pre-edit baseline built in the same directory to prove the rewrite cost nothing typographically.</t>
        </is>
      </c>
      <c r="E36" s="35" t="inlineStr">
        <is>
          <t>SHIPPED 2026-07-28 - deck version 'short v1.1'</t>
        </is>
      </c>
    </row>
    <row r="37">
      <c r="A37" s="34" t="inlineStr">
        <is>
          <t>FIRING PATH written out end to end (2026-07-28)</t>
        </is>
      </c>
      <c r="B37" s="35" t="inlineStr">
        <is>
          <t>The GET IN / GET OUT mechanism specified as ONE path in RESEARCH_REPORT 6.14: (1) candidacy - GET OUT needs hype_ok AND boom_state, GET IN needs hype_raw &gt;= 1 AND NOT end_stage_mask; (2) score - unweighted mean of the bank (GET OUT e1,e2,e3,e5,fade with the A2/A3 gates re-expressed in score space; GET IN attention_accel,hype_ratio,bull_inflection,influx_speed,attention_convexity), no fitting because the family is rules; (3) trailing 7-day per-name mean, no look-ahead; (4) np.flatnonzero(score &gt;= threshold) then a 21-day cooldown then the asymmetric coherence machine.</t>
        </is>
      </c>
      <c r="C37" s="35" t="inlineStr">
        <is>
          <t>The desk asked 'how does it actually work? the signal for get in / get out?' AFTER the panel rebuild claimed to answer it. The mechanism existed in shipped source but was distributed across report 6.7, 6.8, a register class and four files, so nobody could trace it in one read. A detector that cannot be traced end to end cannot be defended in a room. IT IS A CROSSING: there is no inflection, peak or convexity test anywhere in the firing path - the convexity in the GET IN bank is a feature being averaged, not a trigger. Price inside the GET OUT gate is ELIGIBILITY ONLY, never a scored feature.</t>
        </is>
      </c>
      <c r="D37" s="35" t="inlineStr">
        <is>
          <t>No parameter changed. Documentation only. Frozen thresholds restated: GET OUT 0.630231, GET IN 0.848141, ROLL=7, EUPHORIA_COOLDOWN_DAYS=21.</t>
        </is>
      </c>
      <c r="E37" s="35" t="inlineStr">
        <is>
          <t>SHIPPED 2026-07-28 - report 6.14, register Class 8 third pass</t>
        </is>
      </c>
    </row>
    <row r="38">
      <c r="A38" s="34" t="inlineStr">
        <is>
          <t>STREAMLIT TITLE BUG - title must be an explicit EMPTY STRING (2026-07-28)</t>
        </is>
      </c>
      <c r="B38" s="35" t="inlineStr">
        <is>
          <t>dashboard.py draw_chart sets title=dict(text="") on the euphoria figure instead of leaving the title unset.</t>
        </is>
      </c>
      <c r="C38" s="35" t="inlineStr">
        <is>
          <t>BUG FIX, root-caused in the live DOM. A bold 'undefined' was printing over every euphoria chart and the word appears in NO Python file in this repo; four source-level hypotheses were formed and discarded before the DOM was dumped. Walking the tspan's ancestor chain and reading data-unformatted on text.gtitle returned '&lt;b&gt;&lt;b&gt;undefined&lt;/b&gt;&lt;/b&gt;', which named the layer and the mechanism: Streamlit's plotly theming rewrites the title as '&lt;b&gt;' + spec.layout.title.text + '&lt;/b&gt;', and with the title strip deliberately absent (it cost 55px of dead space per name) that inner value is the JavaScript undefined. An empty string is a real string, so the same rewrite yields '&lt;b&gt;&lt;/b&gt;' and renders nothing. Lesson repeated from the 2026-07-27 influence re-cut: when the source does not contain the symptom, the rendered object does.</t>
        </is>
      </c>
      <c r="D38" s="35" t="inlineStr">
        <is>
          <t>Display only. Verified live: rendered _fullLayout.title.text = '&lt;b&gt;&lt;b&gt;&lt;/b&gt;&lt;/b&gt;'; occurrences of 'undefined' on the page 6 -&gt; 0.</t>
        </is>
      </c>
      <c r="E38" s="35" t="inlineStr">
        <is>
          <t>SHIPPED 2026-07-28 - verified in the browser</t>
        </is>
      </c>
    </row>
    <row r="39">
      <c r="A39" s="34" t="inlineStr">
        <is>
          <t>TOP MARGIN 8px -&gt; 38px, derived from the label geometry (2026-07-28)</t>
        </is>
      </c>
      <c r="B39" s="35" t="inlineStr">
        <is>
          <t>The euphoria figure's top margin is 38px.</t>
        </is>
      </c>
      <c r="C39" s="35" t="inlineStr">
        <is>
          <t>BUG FIX. The 'GET OUT &lt;date&gt;' labels were being cut in half by the canvas edge. DERIVED, not tuned: the annotations sit at y=1.0, yref='y domain', yanchor='bottom' with alternating yshift = 4 + 14*(i%2) (so up to 18) to stop adjacent labels colliding, and 9.5px text is about 13px tall, so the tallest label reaches roughly 31px ABOVE the price panel. 38 clears 31 with a little air and is still LESS than the 55px the deleted title strip cost, so the space saving that motivated removing the title survives.</t>
        </is>
      </c>
      <c r="D39" s="35" t="inlineStr">
        <is>
          <t>margin.t = 38 (was 8). Display only; verified live.</t>
        </is>
      </c>
      <c r="E39" s="35" t="inlineStr">
        <is>
          <t>SHIPPED 2026-07-28 - all four labels legible in the screenshot</t>
        </is>
      </c>
    </row>
    <row r="40">
      <c r="A40" s="34" t="inlineStr">
        <is>
          <t>THE GHOST LINE - a knowing reversal, made safe by three guards (2026-07-28)</t>
        </is>
      </c>
      <c r="B40" s="35" t="inlineStr">
        <is>
          <t>Each readiness series is drawn a SECOND time underneath the measured trace: the same values time-interpolated across gaps, 1px, dotted, 30% opacity, excluded from the legend, added first so it renders behind.</t>
        </is>
      </c>
      <c r="C40" s="35" t="inlineStr">
        <is>
          <t>DESK DECISION: 'can we make the euphoria still have like a continuos line? but maybe make it like not as prominant'. The arcs are correct but leave the eye nothing to follow, so a reader has to reconstruct the episode shape themselves. THIS REVERSES the same-day rejection of a dense line (rejected because it 'invents a reading on ungated days'), so it is only defensible with the reason the old version was unsafe identified and removed. (1) hoverinfo='skip' - the ghost NEVER reports a number; hover still comes only from the bold trace, so no ungated day can be read off the screen as a score. This is the load-bearing guard: the earlier objection was to a dense line that could be QUERIED, not one that could be SEEN. (2) limit_area='inside' - interpolation happens only BETWEEN two real scored days, never past the first or last, so the ghost cannot imply a reading in a stretch the detector never judged at all. (3) 1px dotted at 30% with no legend entry - it reads as a construction line; the solid 2.4px markered trace is still the only thing on the panel that looks like a measurement. The lower-panel caption states all of this in plain English, because a faint line that cannot be hovered is only honest if the panel says so.</t>
        </is>
      </c>
      <c r="D40" s="35" t="inlineStr">
        <is>
          <t>NOTHING FEEDS THE MODEL. Alert dates bit-identical. Verified live: two '(shape only)' traces with hoverinfo='skip', connectgaps=true, opacity=0.3.</t>
        </is>
      </c>
      <c r="E40" s="35" t="inlineStr">
        <is>
          <t>SHIPPED 2026-07-28 - verified in the browser</t>
        </is>
      </c>
    </row>
    <row r="41">
      <c r="A41" s="34" t="inlineStr">
        <is>
          <t>FOUR EXPLANATION EXPANDERS REMOVED from the dashboard (2026-07-28)</t>
        </is>
      </c>
      <c r="B41" s="35" t="inlineStr">
        <is>
          <t>Removed: page-level 'WHY THE MODEL DOES WHAT IT DOES' (decisions_simple(), 7 decisions each with the number that settled it) and the long-form evidence log (DECISIONS_DOC); euphoria-tab 'full method &amp; measured record' (EUPHORIA_DEF_FULL) and the deep archive that read docs/PARAMETER_REGISTER.md off disk and printed the whole file. ONE explainer survives and its label is FROZEN VERBATIM: 'what is euphoria?  (start here - plain English)'.</t>
        </is>
      </c>
      <c r="C41" s="35" t="inlineStr">
        <is>
          <t>DESK DECISION: 'for the explanations, just keep the what is euphoria one ... dont change the current what is euphoria? (start here - plain English) just remove the rest'. A proposed rename to 'What is Euphoria' was withdrawn in the same exchange and that withdrawal is recorded so it is not re-litigated. Consistent with the standing split: the notebooks and the register are the research record, the terminal states conclusions - and all four expanders were second copies of DECISIONS.xlsx, PARAMETER_REGISTER.md and the notebooks, so no reasoning is lost. WHAT IT COSTS, recorded because the argument went the other way and was overruled: a PM who challenges a threshold live can no longer answer it from this page; the answer now requires the register or a notebook.</t>
        </is>
      </c>
      <c r="D41" s="35" t="inlineStr">
        <is>
          <t>decisions_simple(), DECISIONS_DOC and EUPHORIA_DEF_FULL are left DEFINED BUT UNREFERENCED rather than deleted, so restoring any of this is a two-line change. THEY ARE EXEMPT FROM THE NO-DEAD-CODE SWEEP.</t>
        </is>
      </c>
      <c r="E41" s="35" t="inlineStr">
        <is>
          <t>SHIPPED 2026-07-28 - four labels confirmed absent from the rendered page</t>
        </is>
      </c>
    </row>
    <row r="42">
      <c r="A42" s="34" t="inlineStr">
        <is>
          <t>THE WATCH TRACK replaces the GHOST LINE (row 40) inside the same day - a partial reversal of the 2026-07-28 sparse-arcs decision, made defensible because each successive pass asserts strictly LESS</t>
        </is>
      </c>
      <c r="B42" s="35" t="inlineStr">
        <is>
          <t>Each readiness series is drawn a second time, faint, over the days the name was a candidate but NOT yet eligible to fire. The grey number is not interpolated: the dashboard imports the PRODUCTION scorers desk_end_fit / desk_onset_fit from analytics.euphoria_phases and calls them with train=None over the WIDE candidate frame (GET OUT: hype_ok only, boom gate dropped; GET IN: the full onset store). Both fit functions ignore `train` - the desk family is a rules family, so fitting is a no-op - which is why calling them this way reproduces the live arithmetic exactly and cannot drift from it. Wide domain: GET OUT 15,244 name-days = 24.1% of all name-days (was 2.5% under the stored eligible set); GET IN 33,306 = 52.6% (was 48.8%).</t>
        </is>
      </c>
      <c r="C42" s="35" t="inlineStr">
        <is>
          <t>DESK DECISION, verbatim: 'i liked it before when it had the 7 day smoothed as well ... i dont want the red / blue dots to appead just suddenly, perhaps plot it when it is not eligable (not boom_state) but still hype_ok, e.g. tracks it until boom_state and then becoems colored and becomes an alert'. WHY THE GHOST HAD TO GO: the ghost drew a straight line between the two nearest scored days, i.e. it displayed a number nobody had computed. The watch track displays a number the production scorer really produces. READ THE THREE PASSES AS A SEQUENCE: the sparse-arcs pass removed a dense line that implied continuous judgement; the ghost added a faint INTERPOLATED line; this pass replaces it with a faint COMPUTED one. Every step is a strictly weaker claim than the one before, and the alert dates are bit-identical across all three - so this is a reversal of the DRAWING, never of the detector.</t>
        </is>
      </c>
      <c r="D42" s="35" t="inlineStr">
        <is>
          <t>NOTHING FEEDS THE MODEL. No threshold, no feature, no cooldown moved. TOP_FEATURES and ONSET_BANK are imported, not re-listed, so a change to either propagates. Frozen thresholds unchanged (GET OUT 0.630231, GET IN 0.848141); ROLL = 7. Display only.</t>
        </is>
      </c>
      <c r="E42" s="35" t="inlineStr">
        <is>
          <t>SHIPPED 2026-07-28 (fourth pass) - verified in the browser: the grey dashed track climbs above 100 through Feb-May while the name is ineligible, hands over to the bold red GET OUT trace at ~100 on 10 May, which then crosses and fires. 108 tests pass.</t>
        </is>
      </c>
    </row>
    <row r="43">
      <c r="A43" s="34" t="inlineStr">
        <is>
          <t>THE MASKING GUARD - the grey is erased on EVERY day the bold trace owns, and the gap is a real hole (connectgaps=False). This is the load-bearing guard, and it was dictated by a measurement, not by taste</t>
        </is>
      </c>
      <c r="B43" s="35" t="inlineStr">
        <is>
          <t>_tr = _tr.where(_s.isna()): the watch track is set to NaN wherever the stored readiness series is non-null, and the trace is drawn with connectgaps=False so plotly cannot bridge across the erased stretch. The two series are therefore structurally incapable of disagreeing on screen - verified offline as zero overlapping non-null points across 12 names, and again in the rendered DOM.</t>
        </is>
      </c>
      <c r="C43" s="35" t="inlineStr">
        <is>
          <t>DERIVED FROM MEASUREMENT. The naive version (draw grey everywhere, colour on top) was built and measured FIRST, and it is wrong: over the 1,600 overlap days the wide recomputation differs from the stored score with median |diff| 0.0000 but p95 0.2234 (= 35.4 threshold-points) and max 0.7505 (= 119 points), and the two disagree on whether the threshold was crossed on 66 of 1,600 days (4.1%). The cause is not a bug: _smooth_by_name rolls a trailing 7-day mean over that name's CANDIDATE-DAY SEQUENCE (positional), not over the calendar, so widening the candidate set changes which days enter each window. Overlaying the two would have let the panel show two different answers for the same day 4.1% of the time.</t>
        </is>
      </c>
      <c r="D43" s="35" t="inlineStr">
        <is>
          <t>connectgaps = False (a True here silently undoes the mask). interpolate(limit_area='inside') so the track never extends past the name's own data. Unclipped frames used deliberately, so the trailing mean does not shift when the sidebar window moves.</t>
        </is>
      </c>
      <c r="E43" s="35" t="inlineStr">
        <is>
          <t>SHIPPED 2026-07-28 - zero overlapping non-null points asserted offline and confirmed in the DOM (hoverinfo:'skip', connectgaps:false, opacity:0.45, #666666, dash).</t>
        </is>
      </c>
    </row>
    <row r="44">
      <c r="A44" s="34" t="inlineStr">
        <is>
          <t>THE TRACK ABOVE 100, AND THE TRACK FLAT ON ZERO, ARE EXHIBITS - not bugs, and deliberately NOT clipped</t>
        </is>
      </c>
      <c r="B44" s="35" t="inlineStr">
        <is>
          <t>The grey may sit above the 100 line without anything firing (GET OUT: 1,891 of 13,644 ineligible name-days = 13.9%; GET IN: 425 of 2,415 = 17.6%), and it may sit flat on the axis for long stretches (AAPL: 177 watch-days all at 0.0). Both are stated in the chart caption and the RUNBOOK rather than hidden.</t>
        </is>
      </c>
      <c r="C44" s="35" t="inlineStr">
        <is>
          <t>DESK DECISION. Above 100 while grey IS the visible answer to 'why did nothing fire here?' - the crowd was big enough, the eligibility gate was shut. Flat on zero is the production number, because desk_end_fit zeroes the score when the attention gate (e1 &gt;= 0.90 &amp; e2 &gt; 0) fails. Clipping either was considered and REJECTED: clipping would remove the only two things the grey shows that a plain continuous line could not, i.e. it would cost the feature its justification.</t>
        </is>
      </c>
      <c r="D44" s="35" t="inlineStr">
        <is>
          <t>EUPHORIA_ATT_GATE = 0.90 (src/config.py:194) is what produces the flat-on-zero stretches. No clip applied. Display only.</t>
        </is>
      </c>
      <c r="E44" s="35" t="inlineStr">
        <is>
          <t>SHIPPED 2026-07-28 - both behaviours documented in the caption, the RUNBOOK, ARCHITECTURE and RESEARCH_REPORT 6.15.</t>
        </is>
      </c>
    </row>
    <row r="45">
      <c r="A45" s="34" t="inlineStr">
        <is>
          <t>PLAIN-ENGLISH COMPONENT NAMES ON SCREEN - e1/e2/e3/e5 no longer appear anywhere in the interface, while the STORED column names stay exactly as they are</t>
        </is>
      </c>
      <c r="B45" s="35" t="inlineStr">
        <is>
          <t>The GET OUT explainer now reads 'attention vs its own year 1.00 ... how long the mood stayed bullish 0.61 ... rate of new people arriving 1.00 ... attention going near-vertical 0.92', using the PLAIN dict from analytics/plain_english.py. The GET IN paragraph already used words, so the panel had been carrying two notations at once.</t>
        </is>
      </c>
      <c r="C45" s="35" t="inlineStr">
        <is>
          <t>DESK DECISION, verbatim: 'also dont use stuff like e1 e2 e3 e4 e5, just use the name of the term as with the other terms'. The rename is done at the DISPLAY layer only: the parquet column names are an interface consumed by the notebooks, the tests and the scorers, so renaming them would be a schema break for a cosmetic gain. plain_english.py lines 19-25 hold the standing docstring on this ('WHY NOT JUST RENAME THE COLUMNS').</t>
        </is>
      </c>
      <c r="D45" s="35" t="inlineStr">
        <is>
          <t>PLAIN dict, analytics/plain_english.py. euphoria_levels.parquet keeps date,name,symbol,kind,level,e1,e2,e3,e5,fade,hype_ok,alert unchanged.</t>
        </is>
      </c>
      <c r="E45" s="35" t="inlineStr">
        <is>
          <t>SHIPPED 2026-07-28 - E1/E2 occurrences on the rendered page 2 -&gt; 0.</t>
        </is>
      </c>
    </row>
    <row r="46">
      <c r="A46" s="34" t="inlineStr">
        <is>
          <t>THE CHART CAP STOPS BEING SILENT - slider ceiling 15 -&gt; 60 and the qualified-versus-drawn count is printed</t>
        </is>
      </c>
      <c r="B46" s="35" t="inlineStr">
        <is>
          <t>'items per section' now runs 3-60 (default 6), and each section prints 'N of M themes alerted in this window (lo to hi). Only names that actually alerted are charted - newest signal first, no filler.' plus, when the slider is the binding constraint, 'Showing the K most recent; raise items per section in the sidebar to see the other N-K.'</t>
        </is>
      </c>
      <c r="C46" s="35" t="inlineStr">
        <is>
          <t>DESK DECISION answering 'why are there so little charts displayed? like only 8 charts - also how do you select what do to show?'. Three filters stack: the date window, 'must have alerted inside the window', and the slider cap. In the default window only 8 of 34 themes and 3 of 8 present singles had alerted, so the ALERT FILTER was the binding one - 'only 8 charts' was describing the window, not a defect. Over all history 30 of 31 themes and 22 of 23 singles have alerted. The alert filter is KEPT (it is the standing 'no filler names' instruction); the real defect was that the cap truncated SILENTLY, which violates the standing no-silent-caps principle. The ceiling is now above the largest possible qualifying set, so the slider can no longer hide anything without saying so.</t>
        </is>
      </c>
      <c r="D46" s="35" t="inlineStr">
        <is>
          <t>how_many = st.sidebar.slider('items per section', 3, 60, 6) (dashboard.py). Display only; no name is scored differently.</t>
        </is>
      </c>
      <c r="E46" s="35" t="inlineStr">
        <is>
          <t>SHIPPED 2026-07-28 - live string verified: '8 of 34 themes alerted in this window (2026-01-01 to newest) ... Showing the 6 most recent; raise "items per section" in the sidebar to see the other 2.'</t>
        </is>
      </c>
    </row>
    <row r="47">
      <c r="A47" s="34" t="inlineStr">
        <is>
          <t>ONE SOLID LINE PER RULE, DRAWN AS % OF ITS OWN TRIGGER - the fourth pass's two-state watch track is withdrawn the same day</t>
        </is>
      </c>
      <c r="B47" s="35" t="inlineStr">
        <is>
          <t>Each firing rule draws ONE continuous solid line: the production scorer (desk_end_fit / desk_onset_fit, train=None - legitimate because the desk family is a rules family and fitting is a no-op) over the wide candidate set, 7-day smoothed by _smooth_by_name, combine_first-ed UNDER the stored score, plotted as score / that rule's own frozen threshold x 100. mode='lines', solid, rule colour, one legend entry, connectgaps=False, and NO .interpolate() call anywhere on the panel. Eligibility is no longer visible on the line - it is carried by the flags.</t>
        </is>
      </c>
      <c r="C47" s="35" t="inlineStr">
        <is>
          <t>DESK DECISION, verbatim: 'i liked the original 7 day on the graph actually instead of the dotted lines (interpolated lines)' / 'i liked the euphoria graph back how it was before' / 'but same as nbefore but 0 to 100% now'. This KNOWINGLY REVERSES row 41 (the watch track) on the same day, and the reversal is recorded rather than overwritten because the sequence is the argument: pass 3 drew an interpolated guess, pass 4 replaced it with a computed number carrying a state change, pass 5 keeps the computed number and drops the state change. Two visual states cost a decoding step on every glance. 100 is the trigger BY CONSTRUCTION, so the axis needs no caption to explain it, and no new quantity is introduced - same scorer, same frozen threshold, divided.</t>
        </is>
      </c>
      <c r="D47" s="35" t="inlineStr">
        <is>
          <t>GET OUT threshold 0.630231, GET IN 0.848141 (both UNCHANGED, read from euphoria_report.json). ROLL = 7 (src/config.py:148). readiness = score / threshold x 100.</t>
        </is>
      </c>
      <c r="E47" s="35" t="inlineStr">
        <is>
          <t>SHIPPED 2026-07-28 - DOM-verified on every themes chart: GET OUT {'segments': 1, 'nulls': 0, 'dash': 'solid', 'mode': 'lines', 'connectgaps': False, 'n': 202}; no dashed readiness trace and no #666666 line anywhere on the panel. Alert dates bit-identical; 108 tests pass.</t>
        </is>
      </c>
    </row>
    <row r="48">
      <c r="A48" s="34" t="inlineStr">
        <is>
          <t>THE STORED SCORE WINS ON EVERY JUDGED DAY - the 4.1% divergence is made UNOBSERVABLE, not displayed</t>
        </is>
      </c>
      <c r="B48" s="35" t="inlineStr">
        <is>
          <t>The line is _s.combine_first(_tr): the stored score is used on every day one exists, and the tracking score fills only the days the detector never judged.</t>
        </is>
      </c>
      <c r="C48" s="35" t="inlineStr">
        <is>
          <t>LOAD-BEARING GUARD, carried from row 42 and strengthened. _smooth_by_name rolls ROLL days over each name's CANDIDATE-DAY SEQUENCE, not the calendar, so widening the candidate set moves every window and the wide recomputation is NOT the stored number: over 1,600 overlapping name-days median absolute difference 0.0000, p95 0.2234 (= 35 threshold-points), max 0.7505 (= 119 points), disagreeing about the CROSSING on 66 days (4.1%). Giving the stored value priority makes the panel INCAPABLE of printing a number that contradicts a flag - the 27-Jul self-contradiction cannot recur. THE COST IS STATED RATHER THAN HIDDEN: the divergence becomes unobservable rather than displayed, so this panel cannot be used to audit the tracking scorer. That is a notebook's job.</t>
        </is>
      </c>
      <c r="D48" s="35" t="inlineStr">
        <is>
          <t>_smooth_by_name (analytics/euphoria_phases.py:992), ROLL = 7. No threshold or stored value is altered.</t>
        </is>
      </c>
      <c r="E48" s="35" t="inlineStr">
        <is>
          <t>SHIPPED 2026-07-28 - divergence measured offline against the live stores before the panel was drawn; the shipped line cannot expose it.</t>
        </is>
      </c>
    </row>
    <row r="49">
      <c r="A49" s="34" t="inlineStr">
        <is>
          <t>WHAT A GAP IN THE GET IN LINE MEANS - verified against the store's definition rather than assumed</t>
        </is>
      </c>
      <c r="B49" s="35" t="inlineStr">
        <is>
          <t>GET OUT never breaks (its inputs are recorded every calendar day). A break in GET IN means there was no build-up to measure, and the caption says exactly that: either the chatter sat at or below this name's own normal level, or there was too little of it to measure at all.</t>
        </is>
      </c>
      <c r="C49" s="35" t="inlineStr">
        <is>
          <t>GROUND TRUTH. A WRONG CLAIM IN MY OWN CAPTION WAS CAUGHT HERE BEFORE DELIVERY: the draft said a break meant 'no crowd at all to score'. Traced to source instead of trusting an earlier density reading - the onset store is literally frame_live[frame_live.hype_raw &gt;= 1] (analytics/euphoria_phases.py:683), and store membership agrees with that test on 61,872 of 61,872 day-frame rows (zero exceptions). Over the 140,858 calendar days inside names' onset spans: 23.1% carry an onset row; 20.5% WERE measured but the 7-day chatter share sat at or below that name's own 120-day median (hype_raw &lt; 1); 56.5% never reached the day frame at all (build_day_frame gates: es.coverage_ok unmet, day before the judgeable price window j0, or too little history for the percentiles). One fifth of gap days DO have chatter, so no document and no caption may say 'no crowd at all'. ALSO REJECTED: phase_day_frame.parquet as the GET IN base - it carries every ONSET_BANK feature and is 98.5% one-day dense, but ends 2026-06-06 against a live window running to 2026-07-21, so it would buy continuity with six weeks of the most recent signal.</t>
        </is>
      </c>
      <c r="D49" s="35" t="inlineStr">
        <is>
          <t>hype_raw &gt;= 1 (the A1 convention: 2x its own 120-day median, unchanged). EUPHORIA_MIN_HISTORY, es.coverage_ok, j0 - all unchanged.</t>
        </is>
      </c>
      <c r="E49" s="35" t="inlineStr">
        <is>
          <t>SHIPPED 2026-07-28 - the 23.1 / 20.5 / 56.5 split and the 61,872/61,872 agreement are written into the source comment beside the code, and the caption states the two-way split rather than the wrong single claim.</t>
        </is>
      </c>
    </row>
    <row r="50">
      <c r="A50" s="34" t="inlineStr">
        <is>
          <t>THE PERSISTENCE RULE - REJECTED ON EVIDENCE (fire only on a full 7-day window)</t>
        </is>
      </c>
      <c r="B50" s="35" t="inlineStr">
        <is>
          <t>Proposed by the desk's own observation that a signal can fire off a single day. Built as a MEASUREMENT and never shipped; no code from it remains in the repo.</t>
        </is>
      </c>
      <c r="C50" s="35" t="inlineStr">
        <is>
          <t>REJECTED. The picture is accurate: 109 above-threshold GET OUT runs, median length 4, 29 of length 1 (26.6%); on the firing day itself 69.5% of alerts sit on a full 7-day smoothing window and 25.3% on a single day. BUT THIN ALERTS ARE NOT LESS ACCURATE - 11/29 = 37.9% hit versus full-window 24/66 = 36.4%, Fisher exact p = 1.0. The cost is not noise: the rule removes 29 of 95 alerts, 11 hits, and 10 captured episodes OUTRIGHT (BBBY 2021-02-11, CLOV 2021-09-07, MVIS 2020-12-22, NOK 2021-01-27, SNDL 2021-06-03, biotech_pharma 2019-12-24, gold_metals 2026-01-29, meme_stocks 2020-02-19, semiconductors 2019-04-24, space 2020-06-08), taking episode capture from 26 to 18. Paying ten episodes for a 1.5pp precision change that a Fisher test cannot separate from zero is not a trade. Per the standing rule the SIGNAL WAS NOT BAND-AIDED; the EXPLANATION was improved - the panel now shows the smoothed score on every day, so a thin fire is visibly a fast climb through 100 rather than a dot arriving from nowhere.</t>
        </is>
      </c>
      <c r="D50" s="35" t="inlineStr">
        <is>
          <t>Would have required a new minimum-run-length parameter. NONE ADDED. EUPHORIA_COOLDOWN_DAYS = 21 and both frozen thresholds unchanged.</t>
        </is>
      </c>
      <c r="E50" s="35" t="inlineStr">
        <is>
          <t>REJECTED 2026-07-28 - answering the desk's narrowed question 'if it is a 1 day window does that make it inaccurate?' with a measurement: no. This row and research report 6.16 are the only trace.</t>
        </is>
      </c>
    </row>
    <row r="51">
      <c r="A51" s="34" t="inlineStr">
        <is>
          <t>COVERAGE REPORTED SEPARATELY FROM ALERTING - the singles count answered on the page instead of padded</t>
        </is>
      </c>
      <c r="B51" s="35" t="inlineStr">
        <is>
          <t>A line above the charts states how many names had data in the window and how many of those alerted: '3 of 25 single names with data in this window alerted (2026-01-01 to newest). Only names that actually alerted are charted - newest signal first, no filler.' Names whose history ends before the window are counted out loud in a second sentence with the fix (widen the window) attached.</t>
        </is>
      </c>
      <c r="C51" s="35" t="inlineStr">
        <is>
          <t>DESK DECISION answering 'why does euphoria singles only show 3 graphs?', chosen over adding filler charts. The question has TWO different answers - how much of the universe was watchable, and how much of it alerted - and printing one number invited the reader to infer the other. The denominator is names with rows INSIDE the window, because a name whose history ends earlier is ABSENT, not CALM, and counting it as calm implies a quiet universe that was never measured. Measured on the 2026-07-21 store all 25 singles reach the last day, so the absence clause does not fire; the three that alerted are AAPL, MSFT and PLTR. The standing 'no filler names' instruction forbids charting the other 22.</t>
        </is>
      </c>
      <c r="D51" s="35" t="inlineStr">
        <is>
          <t>EUPHORIA_SINGLE_TOP_N = 25 (src/config.py:219). 'items per section' 3-60, default 6. No filter changed.</t>
        </is>
      </c>
      <c r="E51" s="35" t="inlineStr">
        <is>
          <t>SHIPPED 2026-07-28 - live string verified in the rendered page: '3 of 25 single names with data in this window alerted (2026-01-01 to newest). Only names that actually alerted are charted - newest signal first, no filler.'</t>
        </is>
      </c>
    </row>
    <row r="52" s="13">
      <c r="A52" s="34" t="inlineStr">
        <is>
          <t>INFLUENCE TAB SPLIT INTO FOUR SUB-TABS - layout only, nothing removed</t>
        </is>
      </c>
      <c r="B52" s="35" t="inlineStr">
        <is>
          <t>The influence tracker now holds four sub-tabs - 'What they are pushing', 'Building or fading?', 'The names', 'The map' - with the window and panel-size controls ABOVE them and the 'why there is no model on this tab' footnote left at page level.</t>
        </is>
      </c>
      <c r="C52" s="35" t="inlineStr">
        <is>
          <t>DESK DECISION answering 'influence tracker why is everything crowded long?', which was a legibility complaint about one scrolling column in which four exhibits competed for the same screen. The controls stay above the sub-tabs so ONE POPULATION FEEDS EVERY VIEW - a view whose population changed with the tab could not be compared with its neighbours, which is the same argument that moved the time panels off the top-N slider on 2026-07-27. The no-model footnote governs all four views, so it cannot live inside one of them. No exhibit, caption or number was dropped.</t>
        </is>
      </c>
      <c r="D52" s="35" t="inlineStr">
        <is>
          <t>None. Display layout only; no influence quantity, denominator or threshold touched.</t>
        </is>
      </c>
      <c r="E52" s="35" t="inlineStr">
        <is>
          <t>SHIPPED 2026-07-28 - all four sub-tab labels verified present in the rendered page and each switches without error; the shared controls render above them and the footnote below them.</t>
        </is>
      </c>
    </row>
    <row r="53">
      <c r="A53" s="34" t="inlineStr">
        <is>
          <t>THE LEVEL CURVE RETURNS TO THE LOWER PANEL, BESIDE THE READINESS LINE - the fifth pass's dial argument is WITHDRAWN</t>
        </is>
      </c>
      <c r="B53" s="35" t="inlineStr">
        <is>
          <t>The 7-day-smoothed euphoria level is drawn again in the lower panel (navy ACCENT, width 1.8, connectgaps=False, drawn FIRST so the readiness lines sit on top of it, legend entry 'euphoria level (7d smooth)'). The raw daily level, the ochre eligibility ribbon and the dated hottest-day marker stay retired.</t>
        </is>
      </c>
      <c r="C53" s="35" t="inlineStr">
        <is>
          <t>DESK DECISION, from a photograph of the third-pass chart: 'i like this original graph more BUT i want it to be 0 to 100% signal fires like what you did in these newer ones ... as in amix of the two'. It is a request for a MIXTURE, not a reversal. The fifth pass had argued that the dial above the chart already carried the level; that argument was right about the QUESTIONS and wrong about the READING, and is withdrawn here - a dial is a single number, so it can say how hot today is but it cannot show that the crowd had been building for three weeks, which is the first thing a PM asks once the readiness line moves. Drawing order encodes the hierarchy: the level is context, the readiness lines are the decision. Binding desk answer on scope: 'smoothed level + readiness only'.</t>
        </is>
      </c>
      <c r="D53" s="35" t="inlineStr">
        <is>
          <t>ROLL = 7 (src/config.py:148). No threshold, score or store touched - display only.</t>
        </is>
      </c>
      <c r="E53" s="35" t="inlineStr">
        <is>
          <t>SHIPPED 2026-07-29 - Playwright DOM read of the rendered panel: row 2 carries three y2 traces, 'euphoria level (7d smooth)' 202 points / 0 nulls / 1 segment / max 88.55, alongside both readiness lines. No page errors.</t>
        </is>
      </c>
    </row>
    <row r="54">
      <c r="A54" s="34" t="inlineStr">
        <is>
          <t>ONE SHARED 0-100 AXIS - THE DUAL AXIS REJECTED</t>
        </is>
      </c>
      <c r="B54" s="35" t="inlineStr">
        <is>
          <t>Both series sit on the same row-2 y-axis, range [0, 125], titled '0-100: level, and % of trigger'. A secondary axis for the level was considered and rejected.</t>
        </is>
      </c>
      <c r="C54" s="35" t="inlineStr">
        <is>
          <t>DESK DECISION ('one shared axis, like the photo'), and defensible because level is bounded 0-100 BY CONSTRUCTION - the live store's max is exactly 100.0 and its min 0.2577 - while readiness is a percentage, so the two share a range with no rescaling and the existing 125 headroom already clears both. The dual axis was rejected on a substantive ground, not taste: two axes let the 100 rule be placed ANYWHERE relative to the level curve, which reintroduces exactly the 'why is the threshold HERE?' ambiguity that the percentage axis was adopted in the fifth pass to remove.</t>
        </is>
      </c>
      <c r="D54" s="35" t="inlineStr">
        <is>
          <t>_ytop = 125.0 (display constant, unchanged from the fifth pass). Frozen thresholds 0.630231 / 0.848141 untouched.</t>
        </is>
      </c>
      <c r="E54" s="35" t="inlineStr">
        <is>
          <t>SHIPPED 2026-07-29 - DOM read confirms all three row-2 traces bound to axis y2; no secondary axis exists in the figure.</t>
        </is>
      </c>
    </row>
    <row r="55">
      <c r="A55" s="34" t="inlineStr">
        <is>
          <t>BUG FIX: THE LEVEL IS NOW SMOOTHED ON THE UNCLIPPED HISTORY, THEN CLIPPED TO THE WINDOW</t>
        </is>
      </c>
      <c r="B55" s="35" t="inlineStr">
        <is>
          <t>The display mean is taken over the name's full stored history and only then reindexed onto the window, instead of being taken after the sidebar clip with min_periods=1.</t>
        </is>
      </c>
      <c r="C55" s="35" t="inlineStr">
        <is>
          <t>BUG FIX, found while implementing the cosmetic request above. Smoothing after the clip meant the first six days of ANY window were the average of one, two, ... six days - a ramp-up artefact - so the SAME CALENDAR DAY read differently depending on how far back the reader happened to be looking. Measured across all 59 charted names: the last day is IDENTICAL for all 59 (so the dial and the 'today' fact were never wrong), at most 6 days move per name (median 6, exactly the ramp), the largest single-day correction is 22.08 level points, and 5 of 59 names had a stated WINDOW PEAK that was an artefact of where the window began. The readiness line has always been built on the unclipped frame, so this also makes the two series on the panel consistent in construction.</t>
        </is>
      </c>
      <c r="D55" s="35" t="inlineStr">
        <is>
          <t>ROLL = 7. No alert could change and none did: level is not an input to either rule (the Reddit-only hard rule keeps price out of both, and the level is a display quantity, not a scored feature).</t>
        </is>
      </c>
      <c r="E55" s="35" t="inlineStr">
        <is>
          <t>SHIPPED 2026-07-29 - 108 tests pass; the plotted series was proved to be the new unclipped construction by matching its values exactly against an offline recomputation for the charted name (theme 'memory', symbol SMH).</t>
        </is>
      </c>
    </row>
    <row r="56">
      <c r="A56" s="34" t="inlineStr">
        <is>
          <t>THE LEVEL IS SKIPPED IN THE NO-DESK-STORE FALLBACK</t>
        </is>
      </c>
      <c r="B56" s="35" t="inlineStr">
        <is>
          <t>Guard: _lvl_on_panel = bool(_ready) and _ready[0][0] != 'SIGNAL'. In the fallback path only the single readiness line is drawn.</t>
        </is>
      </c>
      <c r="C56" s="35" t="inlineStr">
        <is>
          <t>LOAD-BEARING GUARD (display honesty). In the fallback the readiness line IS the level divided by a threshold, so drawing both would put the SAME SERIES on the panel twice at two different scales - which reads as two independent confirmations of one reading. One series, once.</t>
        </is>
      </c>
      <c r="D56" s="35" t="inlineStr">
        <is>
          <t>None. Guard on existing display state only.</t>
        </is>
      </c>
      <c r="E56" s="35" t="inlineStr">
        <is>
          <t>SHIPPED 2026-07-29 - guard exercised in code review of the fallback branch; the primary path (desk store present) is the one verified live.</t>
        </is>
      </c>
    </row>
    <row r="57">
      <c r="A57" s="34" t="inlineStr">
        <is>
          <t>THE CAPTION STATES THAT THE TWO LINES ARE DIFFERENT QUANTITIES</t>
        </is>
      </c>
      <c r="B57" s="35" t="inlineStr">
        <is>
          <t>'Both run 0-100 and higher is hotter in both, but they are not the same quantity - a level of 70 is not 70% of the way to a signal, so read each line against its own legend entry.'</t>
        </is>
      </c>
      <c r="C57" s="35" t="inlineStr">
        <is>
          <t>CONVENTION (display) - the cost of the shared axis, paid explicitly. A shared axis invites reading one line off the other. The mixture the desk asked for is worth that cost, but only if the panel says out loud what the axis cannot.</t>
        </is>
      </c>
      <c r="D57" s="35" t="inlineStr">
        <is>
          <t>None. Caption text only.</t>
        </is>
      </c>
      <c r="E57" s="35" t="inlineStr">
        <is>
          <t>SHIPPED 2026-07-29 - caption string verified present in the rendered page above each euphoria chart.</t>
        </is>
      </c>
    </row>
    <row r="58">
      <c r="A58" s="34" t="inlineStr">
        <is>
          <t>THE END-STAGE BAND - shading returns to the euphoria panel (partial reversal of 'signal lines and nothing else')</t>
        </is>
      </c>
      <c r="B58" s="35" t="inlineStr">
        <is>
          <t>A faint red band (opacity 0.06, no border, drawn below the lines) sits behind every contiguous run of days where the name was END-STAGE, padded half a day either side so a one-day run is still visible. It is labelled once, on the widest run only, as 'shaded: exit question only'. The flag is read straight off euphoria_desk.parquet - nothing is computed.</t>
        </is>
      </c>
      <c r="C58" s="35" t="inlineStr">
        <is>
          <t>DESK DECISION 2026-07-29 (display), answering 'how can there both be get in and get out at the same time? doesnt that not make sense?'. It PARTIALLY REVERSES the fourth-pass removal of all shading, and the reversal is argued rather than silently overwritten: of that removal's three reasons, two do not apply (shading is wrong for a dated verdict but right for a region statement, and 'three bands mix into a fourth colour' cannot happen with one band) and the third is answered (a 6% tint survives greyscale and print; the label prints as text).</t>
        </is>
      </c>
      <c r="D58" s="35" t="inlineStr">
        <is>
          <t>None. The band carries no number and no score; end_stage is an existing stored column. No threshold, feature or alert date touched.</t>
        </is>
      </c>
      <c r="E58" s="35" t="inlineStr">
        <is>
          <t>SHIPPED 2026-07-29 - DOM read confirms 3 rect shapes on x2/y2 domain at opacity 0.06 with layer='below'; all four GET OUT alert dates on the charted name fall inside shaded runs, which is the internal consistency check since GET OUT can only fire on an end-stage day.</t>
        </is>
      </c>
    </row>
    <row r="59">
      <c r="A59" s="34" t="inlineStr">
        <is>
          <t>THE TWO FIRING RULES CANNOT BOTH FIRE - measured on the shipped store, not asserted from the code</t>
        </is>
      </c>
      <c r="B59" s="35" t="inlineStr">
        <is>
          <t>Of 63,345 judged name-days: ZERO carry both readiness lines at or above 100, ZERO fire both alerts (95 GET OUT / 156 GET IN historically, never the same name-day), and ZERO end-stage days carry a GET IN score. 189 name-days carry two non-zero scores - the trailing 7-day mean dragging a score across a state change - but none reaches both triggers.</t>
        </is>
      </c>
      <c r="C59" s="35" t="inlineStr">
        <is>
          <t>GROUND TRUTH. The disjointness is structural, in candidacy rather than in a tie-break afterwards: the exit frame is (hype_ok &amp; boom_state) and the exit score is zeroed off end-stage days, while the entry frame is explicitly NOT end-stage. A 21-day state machine then suppresses any entry alert landing after an exit alert. The desk's question deserved a number rather than a promise about the code.</t>
        </is>
      </c>
      <c r="D59" s="35" t="inlineStr">
        <is>
          <t>None. This row records a measurement of the existing detector.</t>
        </is>
      </c>
      <c r="E59" s="35" t="inlineStr">
        <is>
          <t>MEASURED 2026-07-29 against euphoria_desk.parquet (63,345 rows) and euphoria_onset.parquet (33,306 rows).</t>
        </is>
      </c>
    </row>
    <row r="60">
      <c r="A60" s="34" t="inlineStr">
        <is>
          <t>THE TRACKING FILL IS RETAINED - 'let the GET IN line break instead' REJECTED</t>
        </is>
      </c>
      <c r="B60" s="35" t="inlineStr">
        <is>
          <t>The GET IN line keeps drawing a what-it-would-have-said reading on days the detector never judged, so the line stays continuous; the band above is what distinguishes judged from hypothetical.</t>
        </is>
      </c>
      <c r="C60" s="35" t="inlineStr">
        <is>
          <t>DESK DECISION 2026-07-29 - two fixes were offered and this is the one chosen; the rejected option is recorded here rather than left in the code. Dropping the fill would have cut the GET IN line to about 10 visible points on the charted name (theme 'memory' / SMH: judged on 10 of ~82 days from 2026-05-01, fired zero times, 79 days end-stage), trading one misreading for a chart that looks broken.</t>
        </is>
      </c>
      <c r="D60" s="35" t="inlineStr">
        <is>
          <t>None. No change to either scorer.</t>
        </is>
      </c>
      <c r="E60" s="35" t="inlineStr">
        <is>
          <t>SHIPPED 2026-07-29 - the fill logic is unchanged from the fifth pass and is covered by the existing panel tests (108 pass).</t>
        </is>
      </c>
    </row>
    <row r="61">
      <c r="A61" s="34" t="inlineStr">
        <is>
          <t>THE CAPTION STATES WHAT EACH LINE IS - renaming the legend entries REJECTED</t>
        </is>
      </c>
      <c r="B61" s="35" t="inlineStr">
        <is>
          <t>The caption now says the GET OUT line is NOT the slope of the level line: it is the same blend of ingredients plus one more (mood rolling over while the crowd is still large), rescaled so 100 is its trigger, which is why the two move together; that the GET IN line is the slope-like one, built from short-window-versus-long-window terms; and that shaded days give a reading that cannot fire however high it goes.</t>
        </is>
      </c>
      <c r="C61" s="35" t="inlineStr">
        <is>
          <t>DESK DECISION 2026-07-29 (wording), answering 'is the red line the gradient of the black line? it is very unclear.' It is not: the level is the mean of four terms and the exit score is the mean of those same four plus a fade term, so red is a SIBLING of black, not its derivative - a natural mistake the panel had never corrected. Renaming the legend was offered and not chosen: the legend names the rule, and adding the rule's construction would make every entry a sentence.</t>
        </is>
      </c>
      <c r="D61" s="35" t="inlineStr">
        <is>
          <t>None. Caption text only.</t>
        </is>
      </c>
      <c r="E61" s="35" t="inlineStr">
        <is>
          <t>SHIPPED 2026-07-29 - all six new caption and label strings verified present in the rendered page.</t>
        </is>
      </c>
    </row>
    <row r="62">
      <c r="A62" s="34" t="inlineStr">
        <is>
          <t>PLOTLY TRAP RECORDED: add_vrect silently drops shapes on a subplot that has no traces yet</t>
        </is>
      </c>
      <c r="B62" s="35" t="inlineStr">
        <is>
          <t>The band block is placed AFTER the readiness trace loop, not before it. add_vrect defaults to exclude_empty_subplots=True, so a band added to row 2 before row 2 has any traces is dropped with no error - and the annotation beside it still renders, so the panel looks merely unshaded rather than broken.</t>
        </is>
      </c>
      <c r="C62" s="35" t="inlineStr">
        <is>
          <t>LOAD-BEARING PLACEMENT, recorded so a future reader does not tidy the block back above the traces. The first cut of this pass failed exactly this way; an instrumented DOM read printed runs=3 shapes=0, which is what identified it. Z-order does not depend on insertion order - layer='below' is what puts the band under the lines - so moving the block down costs nothing.</t>
        </is>
      </c>
      <c r="D62" s="35" t="inlineStr">
        <is>
          <t>None. Placement only.</t>
        </is>
      </c>
      <c r="E62" s="35" t="inlineStr">
        <is>
          <t>VERIFIED 2026-07-29 - offline plotly 6.9.0 reproduction plus a live DOM read before and after the move (0 rect shapes -&gt; 3).</t>
        </is>
      </c>
    </row>
    <row r="63">
      <c r="A63" s="34" t="inlineStr">
        <is>
          <t>LIVE BOOM WINDOW CUT 120d -&gt; 60d - the exit gate's price lookback is now a prediction-time choice, separate from the ground truth's</t>
        </is>
      </c>
      <c r="B63" s="35" t="inlineStr">
        <is>
          <t>boom_state_frame measures the run-up over a trailing EUPHORIA_BOOM_WINDOW_D (60d) low instead of 120d. The boom SIZE thresholds (25% ETF / 50% single) are unchanged, and the GROUND-TRUTH 120d window in ground_truth_peaks / find_episodes is deliberately untouched - moving it would change the yardstick rather than the answer. The two now live in separate places so neither can move the other by accident.</t>
        </is>
      </c>
      <c r="C63" s="35" t="inlineStr">
        <is>
          <t>DESK CHALLENGE 2026-07-29, from the screen: 'why did this graph fire? the price did not move enough'. Correct in substance. The gate was firing correctly (all 95 stored GET OUT flags clear their trigger, min 1.0017x) but a 120-day low let post-crash rebounds read as booms: 30 of 95 fired &gt;10% below their own 1-year high. semiconductors (SMH) fired 2023-01-31 and 2023-03-16 at +36.9%/+27.5% above its 120d low while 25%/20% BELOW its Dec-2021 peak. At 60d those days are +20.2%/+14.3% - both blocked.</t>
        </is>
      </c>
      <c r="D63" s="35" t="inlineStr">
        <is>
          <t>EUPHORIA_BOOM_WINDOW_D = 60 (new), EUPHORIA_BOOM_WINDOW_MIN_D = 30. Swept 20/30/45/60/90/120/180/252d through the SAME run_tournament_entry walk-forward, episodes held fixed, judged on the common test years (2021/2022/2026, 93 detectable peaks). 60d: 21 captured, 10 FA, precision 0.500, AP lift +0.042. 120d: 20 captured, 11 FA, precision 0.488. 45d and shorter REJECTED on AP lift &lt;= 0 - the crowd score stops beating the base rate, so the price filter would do all the work. 90d @ 30% ties and is recorded as the standing alternative.</t>
        </is>
      </c>
      <c r="E63" s="35" t="inlineStr">
        <is>
          <t>ADOPTED 2026-07-29 - code + docs changed; thresholds NOT yet re-fit. Requires `python -m analytics.run_analytics --what phases --research` to re-select the frozen GET OUT threshold on the new candidate set (1463 -&gt; 921 judgeable days; offline re-fit lands at ~0.618 vs the previous ~0.630) and to rewrite euphoria_desk.parquet. Margin over 120d is INSIDE NOISE (20 vs 21 of 93, three test years) - the claim is 'at least as good, and it removes a known failure mode', not 'measurably better'.</t>
        </is>
      </c>
    </row>
    <row r="64">
      <c r="A64" s="34" t="inlineStr">
        <is>
          <t>LIVE BOOM WINDOW SWEPT PROPERLY: 60d -&gt; 54d on the NB07 frontier, and an earlier AP-lift claim CORRECTED</t>
        </is>
      </c>
      <c r="B64" s="35" t="inlineStr">
        <is>
          <t>EUPHORIA_BOOM_WINDOW_D = 54 (was 60, originally 120). Chosen by the project's own pre-stated rule - inside the FA budget, maximise capture - lifted from the threshold to the window, and judged on the test years every configuration shares so capture counts are comparable.</t>
        </is>
      </c>
      <c r="C64" s="35" t="inlineStr">
        <is>
          <t>DESK REQUEST 2026-07-29: 'use the frontier stuff from the notebooks to find the OPTIMAL lookback that minimises false alarms'. On the shared years (2021/2022/2026, 93 peaks): 54d captures 22 at 0.092 FA/inst-yr; 60d 21 at 0.115; 120d 20 at 0.115 - 120d is DOMINATED on both axes. Capture is flat at 21-22 across 52-60d while FAs rise monotonically, so the efficient point is the SHORT end of the plateau; below 52d capture collapses to 15 (a cliff). 52d is the lower-FA alternative (21 at 0.081).</t>
        </is>
      </c>
      <c r="D64" s="35" t="inlineStr">
        <is>
          <t>EUPHORIA_BOOM_WINDOW_D 60 -&gt; 54, EUPHORIA_BOOM_WINDOW_MIN_D 30 -&gt; 27. Method added to notebook 07 as section A3b (re-runs from data). CORRECTION: the previous decision row rejected short windows on AP lift &lt;= 0. That lift was read off each window's OWN test years; short windows cannot score 2020, so part of what moved was the evaluation period. Recomputed on shared years, AUROC is ~0.50 at EVERY window from 40-100d, 60d included (0.503, lift +0.014, not +0.042). The window buys capture-vs-FA, NOT detector skill - now open limitation RESEARCH_REPORT section 8.5.</t>
        </is>
      </c>
      <c r="E64" s="35" t="inlineStr">
        <is>
          <t>ADOPTED 2026-07-29; THRESHOLD RE-FIT DONE 2026-07-29: threshold 0.618064, capture 22/98, FA 10 (0.083/inst-yr), AP 0.615 vs 0.608 base, AUROC 0.507, warning 9d - the offline projection was exact. RECORDED COST: the walk-forward loses its 2020 test year, denominator 122 -&gt; 98 - fewer captures REPORTED because it is examined on less, not because it got worse. NOISE: 21 vs 22 of 93 is one episode; 54d sits two steps from the 50d cliff.</t>
        </is>
      </c>
    </row>
    <row r="65">
      <c r="A65" s="34" t="inlineStr">
        <is>
          <t>KNOB AUDIT: every chosen number swept; GET IN brought inside its false-alarm budget; four knobs tested and KEPT</t>
        </is>
      </c>
      <c r="B65" s="35" t="inlineStr">
        <is>
          <t>EUPHORIA_ONSET_HYPE_MIN = 1.10 (was a hardcoded 1.0 in desk_candidacy). A1 hype multiple 2.0, A2 attention gate 0.90, GET OUT cooldown 21d and desk trigger smoothing ROLL=7 all swept and left unchanged.</t>
        </is>
      </c>
      <c r="C65" s="35" t="inlineStr">
        <is>
          <t>DESK REQUEST 2026-07-29: 'any variables that were arbitrarily defined, we MUST do a frontier on it to determine BEST'. GET IN had breached its own accepted FA budget since it shipped (0.255 vs 0.23), carried as a stated limitation rather than fixed. Floor 1.10 is the max-capture point INSIDE the budget: FA/inst-yr 0.278 -&gt; 0.207, late starts 6 -&gt; 2, precision 0.138 -&gt; 0.173, one capture given up.</t>
        </is>
      </c>
      <c r="D65" s="35" t="inlineStr">
        <is>
          <t>Swept on the NB07 A3c frontier: same walk-forward, GROUND TRUTH HELD FIXED (G1/G2/G3, the 120d ground-truth window, the [peak-30d,peak+1d] hit window and the 45d judgeable horizon are all out of scope - tuning them moves the target). KEPT: A1 hype 2.0 IS the capture maximum (22 vs 16-18 either side); A2 att gate 0.90 - monotone trade, nothing inside budget; ROLL 5 weakly dominates 7 by TWO false alarms = noise. COOLDOWN 7d REFUSED despite winning on the stated rule (25 captures vs 22, inside budget) because it fires 78 alerts vs 42 at precision 0.32 - repeat shots at the SAME peak, which the capture count cannot see.</t>
        </is>
      </c>
      <c r="E65" s="35" t="inlineStr">
        <is>
          <t>ADOPTED 2026-07-29; RE-FIT PENDING - run `python -m analytics.run_analytics --what phases --research`. COST STATED: 1.0 was a DEFINITION (multiplier one, parameter-free); 1.10 is a fitted number and the register gains an entry it did not have. SCOPE: desk_candidacy only - the crowd-only onset store keeps 1.0 (separate detector, separate record, not swept). OVERFITTING GUARD: six knobs against ~98-125 peaks over a handful of years; nothing adopted on a single-point maximum, only on a stated failure or a broad plateau.</t>
        </is>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1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2" min="1" max="1"/>
    <col width="13" customWidth="1" style="12" min="2" max="5"/>
    <col width="14" customWidth="1" style="12" min="6" max="6"/>
    <col width="15" customWidth="1" style="12" min="7" max="7"/>
  </cols>
  <sheetData>
    <row r="1" ht="25.5" customHeight="1" s="13">
      <c r="A1" s="14" t="inlineStr">
        <is>
          <t>5. Walk-forward validation (threshold learned from PAST years only)</t>
        </is>
      </c>
    </row>
    <row r="3" ht="26.85" customHeight="1" s="13">
      <c r="A3" s="17" t="inlineStr">
        <is>
          <t>Year</t>
        </is>
      </c>
      <c r="B3" s="17" t="inlineStr">
        <is>
          <t>Threshold</t>
        </is>
      </c>
      <c r="C3" s="17" t="inlineStr">
        <is>
          <t>Peaks (all)</t>
        </is>
      </c>
      <c r="D3" s="17" t="inlineStr">
        <is>
          <t>Detectable</t>
        </is>
      </c>
      <c r="E3" s="17" t="inlineStr">
        <is>
          <t>Captured</t>
        </is>
      </c>
      <c r="F3" s="17" t="inlineStr">
        <is>
          <t>False alarms</t>
        </is>
      </c>
      <c r="G3" s="17" t="inlineStr">
        <is>
          <t>Capture rate (detectable)</t>
        </is>
      </c>
    </row>
    <row r="4" ht="15" customHeight="1" s="13">
      <c r="A4" s="15" t="inlineStr">
        <is>
          <t>2021</t>
        </is>
      </c>
      <c r="B4" s="15" t="n">
        <v>85</v>
      </c>
      <c r="C4" s="15" t="n">
        <v>38</v>
      </c>
      <c r="D4" s="15" t="n">
        <v>34</v>
      </c>
      <c r="E4" s="15" t="n">
        <v>13</v>
      </c>
      <c r="F4" s="15" t="n">
        <v>24</v>
      </c>
      <c r="G4" s="15">
        <f>IF(D4=0,"n/a",ROUND(E4/D4,3))</f>
        <v/>
      </c>
    </row>
    <row r="5" ht="15" customHeight="1" s="13">
      <c r="A5" s="19" t="inlineStr">
        <is>
          <t>2022</t>
        </is>
      </c>
      <c r="B5" s="19" t="n">
        <v>85</v>
      </c>
      <c r="C5" s="19" t="n">
        <v>47</v>
      </c>
      <c r="D5" s="19" t="n">
        <v>22</v>
      </c>
      <c r="E5" s="19" t="n">
        <v>2</v>
      </c>
      <c r="F5" s="19" t="n">
        <v>19</v>
      </c>
      <c r="G5" s="19">
        <f>IF(D5=0,"n/a",ROUND(E5/D5,3))</f>
        <v/>
      </c>
    </row>
    <row r="6" ht="15" customHeight="1" s="13">
      <c r="A6" s="15" t="inlineStr">
        <is>
          <t>2023</t>
        </is>
      </c>
      <c r="B6" s="15" t="n">
        <v>85</v>
      </c>
      <c r="C6" s="15" t="n">
        <v>35</v>
      </c>
      <c r="D6" s="15" t="n">
        <v>5</v>
      </c>
      <c r="E6" s="15" t="n">
        <v>0</v>
      </c>
      <c r="F6" s="15" t="n">
        <v>7</v>
      </c>
      <c r="G6" s="15">
        <f>IF(D6=0,"n/a",ROUND(E6/D6,3))</f>
        <v/>
      </c>
    </row>
    <row r="7" ht="15" customHeight="1" s="13">
      <c r="A7" s="19" t="inlineStr">
        <is>
          <t>2024</t>
        </is>
      </c>
      <c r="B7" s="19" t="n">
        <v>85</v>
      </c>
      <c r="C7" s="19" t="n">
        <v>44</v>
      </c>
      <c r="D7" s="19" t="n">
        <v>0</v>
      </c>
      <c r="E7" s="19" t="n">
        <v>0</v>
      </c>
      <c r="F7" s="19" t="n">
        <v>1</v>
      </c>
      <c r="G7" s="19">
        <f>IF(D7=0,"n/a",ROUND(E7/D7,3))</f>
        <v/>
      </c>
    </row>
    <row r="8" ht="15" customHeight="1" s="13">
      <c r="A8" s="15" t="inlineStr">
        <is>
          <t>2025</t>
        </is>
      </c>
      <c r="B8" s="15" t="n">
        <v>85</v>
      </c>
      <c r="C8" s="15" t="n">
        <v>34</v>
      </c>
      <c r="D8" s="15" t="n">
        <v>0</v>
      </c>
      <c r="E8" s="15" t="n">
        <v>0</v>
      </c>
      <c r="F8" s="15" t="n">
        <v>0</v>
      </c>
      <c r="G8" s="15">
        <f>IF(D8=0,"n/a",ROUND(E8/D8,3))</f>
        <v/>
      </c>
    </row>
    <row r="9" ht="15" customHeight="1" s="13">
      <c r="A9" s="19" t="inlineStr">
        <is>
          <t>2026</t>
        </is>
      </c>
      <c r="B9" s="19" t="n">
        <v>85</v>
      </c>
      <c r="C9" s="19" t="n">
        <v>21</v>
      </c>
      <c r="D9" s="19" t="n">
        <v>13</v>
      </c>
      <c r="E9" s="19" t="n">
        <v>2</v>
      </c>
      <c r="F9" s="19" t="n">
        <v>7</v>
      </c>
      <c r="G9" s="19">
        <f>IF(D9=0,"n/a",ROUND(E9/D9,3))</f>
        <v/>
      </c>
    </row>
    <row r="10" ht="15" customHeight="1" s="13">
      <c r="A10" s="23" t="inlineStr">
        <is>
          <t>TOTAL</t>
        </is>
      </c>
      <c r="B10" s="24" t="n"/>
      <c r="C10" s="23">
        <f>SUM(C4:C9)</f>
        <v/>
      </c>
      <c r="D10" s="23">
        <f>SUM(D4:D9)</f>
        <v/>
      </c>
      <c r="E10" s="23">
        <f>SUM(E4:E9)</f>
        <v/>
      </c>
      <c r="F10" s="23">
        <f>SUM(F4:F9)</f>
        <v/>
      </c>
      <c r="G10" s="23">
        <f>ROUND(E10/D10,3)</f>
        <v/>
      </c>
    </row>
    <row r="12" ht="26.85" customHeight="1" s="13">
      <c r="A12" s="17" t="inlineStr">
        <is>
          <t>Headline metric</t>
        </is>
      </c>
      <c r="B12" s="17" t="inlineStr">
        <is>
          <t>Value</t>
        </is>
      </c>
      <c r="C12" s="17" t="n"/>
      <c r="D12" s="17" t="n"/>
      <c r="E12" s="17" t="n"/>
      <c r="F12" s="17" t="n"/>
      <c r="G12" s="17" t="n"/>
    </row>
    <row r="13" ht="35.05" customHeight="1" s="13">
      <c r="A13" s="20" t="inlineStr">
        <is>
          <t>Capture rate, of detectable peaks</t>
        </is>
      </c>
      <c r="B13" s="15">
        <f>ROUND(17/74,3)</f>
        <v/>
      </c>
      <c r="C13" s="15" t="n"/>
      <c r="D13" s="15" t="n"/>
      <c r="E13" s="15" t="n"/>
      <c r="F13" s="15" t="n"/>
      <c r="G13" s="15" t="n"/>
    </row>
    <row r="14" ht="57.45" customHeight="1" s="13">
      <c r="A14" s="20" t="inlineStr">
        <is>
          <t>Capture rate, of ALL peaks (incl. no-coverage eras)</t>
        </is>
      </c>
      <c r="B14" s="15">
        <f>ROUND(17/219,3)</f>
        <v/>
      </c>
      <c r="C14" s="15" t="n"/>
      <c r="D14" s="15" t="n"/>
      <c r="E14" s="15" t="n"/>
      <c r="F14" s="15" t="n"/>
      <c r="G14" s="15" t="n"/>
    </row>
    <row r="15" ht="35.05" customHeight="1" s="13">
      <c r="A15" s="20" t="inlineStr">
        <is>
          <t>Median lead (days before the peak)</t>
        </is>
      </c>
      <c r="B15" s="15" t="n">
        <v>4</v>
      </c>
      <c r="C15" s="15" t="n"/>
      <c r="D15" s="15" t="n"/>
      <c r="E15" s="15" t="n"/>
      <c r="F15" s="15" t="n"/>
      <c r="G15" s="15" t="n"/>
    </row>
    <row r="16" ht="79.84999999999999" customHeight="1" s="13">
      <c r="A16" s="20" t="inlineStr">
        <is>
          <t>False alarms per instrument-year (59 instruments x 9 eval years)</t>
        </is>
      </c>
      <c r="B16" s="15">
        <f>ROUND(58/(59*9),2)</f>
        <v/>
      </c>
      <c r="C16" s="15" t="n"/>
      <c r="D16" s="15" t="n"/>
      <c r="E16" s="15" t="n"/>
      <c r="F16" s="15" t="n"/>
      <c r="G16" s="15" t="n"/>
    </row>
    <row r="17" ht="91" customHeight="1" s="13">
      <c r="A17" s="20" t="inlineStr">
        <is>
          <t>Price-assisted variant (retired under the Reddit-only rule)</t>
        </is>
      </c>
      <c r="B17" s="15" t="inlineStr">
        <is>
          <t>captured 46% of detectable, 0.08 FAs/instr-yr - the documented cost of the crowd-only claim</t>
        </is>
      </c>
      <c r="C17" s="15" t="n"/>
      <c r="D17" s="15" t="n"/>
      <c r="E17" s="15" t="n"/>
      <c r="F17" s="15" t="n"/>
      <c r="G17" s="15" t="n"/>
    </row>
    <row r="19" ht="46.25" customHeight="1" s="13">
      <c r="A19" s="21" t="inlineStr">
        <is>
          <t>Reading the table</t>
        </is>
      </c>
      <c r="B19" s="22" t="inlineStr">
        <is>
          <t>2021 + 2026 carry the signal because they carry the coverage (backfill + live eras). 2023-25 have ZERO detectable peaks - the detector is not wrong there, it is blind there, and the denominator says so honestly. 2021's threshold is the conservative default (its training years pre-date price history); extending prices to 2017 turns 2018-20 into real training and test years.</t>
        </is>
      </c>
      <c r="C19" s="25" t="n"/>
      <c r="D19" s="25" t="n"/>
      <c r="E19" s="25" t="n"/>
      <c r="F19" s="25" t="n"/>
      <c r="G19" s="26" t="n"/>
    </row>
  </sheetData>
  <mergeCells count="2">
    <mergeCell ref="B19:G19"/>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1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15" customWidth="1" style="12" min="2" max="2"/>
    <col width="12" customWidth="1" style="12" min="3" max="3"/>
    <col width="13" customWidth="1" style="12" min="4" max="4"/>
    <col width="12" customWidth="1" style="12" min="5" max="5"/>
    <col width="13" customWidth="1" style="12" min="6" max="6"/>
    <col width="42" customWidth="1" style="12" min="7" max="7"/>
  </cols>
  <sheetData>
    <row r="1" ht="25.5" customHeight="1" s="13">
      <c r="A1" s="14" t="inlineStr">
        <is>
          <t>6. Ablation - drop one rule, re-run the ENTIRE walk-forward (design: [1] sec 7.2.1)</t>
        </is>
      </c>
    </row>
    <row r="3" ht="26.85" customHeight="1" s="13">
      <c r="A3" s="17" t="inlineStr">
        <is>
          <t>Variant</t>
        </is>
      </c>
      <c r="B3" s="17" t="inlineStr">
        <is>
          <t>Capture (of detectable)</t>
        </is>
      </c>
      <c r="C3" s="17" t="inlineStr">
        <is>
          <t>vs FULL</t>
        </is>
      </c>
      <c r="D3" s="17" t="inlineStr">
        <is>
          <t>False alarms</t>
        </is>
      </c>
      <c r="E3" s="17" t="inlineStr">
        <is>
          <t>vs FULL</t>
        </is>
      </c>
      <c r="F3" s="17" t="inlineStr">
        <is>
          <t>Median lead (d)</t>
        </is>
      </c>
      <c r="G3" s="17" t="inlineStr">
        <is>
          <t>Interpretation</t>
        </is>
      </c>
    </row>
    <row r="4" ht="15" customHeight="1" s="13">
      <c r="A4" s="23" t="inlineStr">
        <is>
          <t>FULL (all rules)</t>
        </is>
      </c>
      <c r="B4" s="24" t="n">
        <v>0.23</v>
      </c>
      <c r="C4" s="24" t="n">
        <v>0</v>
      </c>
      <c r="D4" s="24" t="n">
        <v>58</v>
      </c>
      <c r="E4" s="24" t="n">
        <v>0</v>
      </c>
      <c r="F4" s="24" t="n">
        <v>4</v>
      </c>
      <c r="G4" s="24" t="inlineStr">
        <is>
          <t>The baseline every knock-out is measured against.</t>
        </is>
      </c>
    </row>
    <row r="5" ht="23.85" customHeight="1" s="13">
      <c r="A5" s="18" t="inlineStr">
        <is>
          <t>- E1 attention (level)</t>
        </is>
      </c>
      <c r="B5" s="19" t="n">
        <v>0.189</v>
      </c>
      <c r="C5" s="19" t="n">
        <v>-0.041</v>
      </c>
      <c r="D5" s="19" t="n">
        <v>37</v>
      </c>
      <c r="E5" s="19" t="n">
        <v>-21</v>
      </c>
      <c r="F5" s="19" t="n">
        <v>4</v>
      </c>
      <c r="G5" s="19" t="inlineStr">
        <is>
          <t>Attention extremity carries capture - dropping it loses 3 of 17 catches.</t>
        </is>
      </c>
    </row>
    <row r="6" ht="35.05" customHeight="1" s="13">
      <c r="A6" s="20" t="inlineStr">
        <is>
          <t>- E2 sustained bull (level)</t>
        </is>
      </c>
      <c r="B6" s="15" t="n">
        <v>0.297</v>
      </c>
      <c r="C6" s="15" t="n">
        <v>0.067</v>
      </c>
      <c r="D6" s="15" t="n">
        <v>84</v>
      </c>
      <c r="E6" s="15" t="n">
        <v>26</v>
      </c>
      <c r="F6" s="15" t="n">
        <v>6.5</v>
      </c>
      <c r="G6" s="15" t="inlineStr">
        <is>
          <t>Removing E2 catches more but fires 45% more FAs - E2 is a precision feature. Kept: frozen a-priori design; revisiting it would be selecting on the test.</t>
        </is>
      </c>
    </row>
    <row r="7" ht="15" customHeight="1" s="13">
      <c r="A7" s="18" t="inlineStr">
        <is>
          <t>- E3 crowd influx (level)</t>
        </is>
      </c>
      <c r="B7" s="19" t="n">
        <v>0.189</v>
      </c>
      <c r="C7" s="19" t="n">
        <v>-0.041</v>
      </c>
      <c r="D7" s="19" t="n">
        <v>40</v>
      </c>
      <c r="E7" s="19" t="n">
        <v>-18</v>
      </c>
      <c r="F7" s="19" t="n">
        <v>4</v>
      </c>
      <c r="G7" s="19" t="inlineStr">
        <is>
          <t>Crowd influx carries capture symmetrically with E1.</t>
        </is>
      </c>
    </row>
    <row r="8" ht="23.85" customHeight="1" s="13">
      <c r="A8" s="20" t="inlineStr">
        <is>
          <t>- E5 super-exp attention (level)</t>
        </is>
      </c>
      <c r="B8" s="15" t="n">
        <v>0.203</v>
      </c>
      <c r="C8" s="15" t="n">
        <v>-0.027</v>
      </c>
      <c r="D8" s="15" t="n">
        <v>52</v>
      </c>
      <c r="E8" s="15" t="n">
        <v>-6</v>
      </c>
      <c r="F8" s="15" t="n">
        <v>2</v>
      </c>
      <c r="G8" s="15" t="inlineStr">
        <is>
          <t>The contagion-acceleration feature adds captures AND days of lead.</t>
        </is>
      </c>
    </row>
    <row r="9" ht="23.85" customHeight="1" s="13">
      <c r="A9" s="18" t="inlineStr">
        <is>
          <t>- hype gate A1</t>
        </is>
      </c>
      <c r="B9" s="19" t="n">
        <v>0.284</v>
      </c>
      <c r="C9" s="19" t="n">
        <v>0.054</v>
      </c>
      <c r="D9" s="19" t="n">
        <v>141</v>
      </c>
      <c r="E9" s="19" t="n">
        <v>83</v>
      </c>
      <c r="F9" s="19" t="n">
        <v>6</v>
      </c>
      <c r="G9" s="19" t="inlineStr">
        <is>
          <t>THE precision lever: without 'the crowd must have swollen', false alarms nearly triple.</t>
        </is>
      </c>
    </row>
    <row r="10" ht="23.85" customHeight="1" s="13">
      <c r="A10" s="20" t="inlineStr">
        <is>
          <t>- attention gate A2</t>
        </is>
      </c>
      <c r="B10" s="15" t="n">
        <v>0.23</v>
      </c>
      <c r="C10" s="15" t="n">
        <v>0</v>
      </c>
      <c r="D10" s="15" t="n">
        <v>60</v>
      </c>
      <c r="E10" s="15" t="n">
        <v>2</v>
      </c>
      <c r="F10" s="15" t="n">
        <v>4</v>
      </c>
      <c r="G10" s="15" t="inlineStr">
        <is>
          <t>Mostly redundant with A1 at these thresholds - kept as the stated definition of hypothesis 3.</t>
        </is>
      </c>
    </row>
    <row r="11" ht="15" customHeight="1" s="13">
      <c r="A11" s="18" t="inlineStr">
        <is>
          <t>- sustained-bull gate A2b</t>
        </is>
      </c>
      <c r="B11" s="19" t="n">
        <v>0.23</v>
      </c>
      <c r="C11" s="19" t="n">
        <v>0</v>
      </c>
      <c r="D11" s="19" t="n">
        <v>64</v>
      </c>
      <c r="E11" s="19" t="n">
        <v>6</v>
      </c>
      <c r="F11" s="19" t="n">
        <v>4</v>
      </c>
      <c r="G11" s="19" t="inlineStr">
        <is>
          <t>Pure precision, zero capture cost - a free gate.</t>
        </is>
      </c>
    </row>
    <row r="12" ht="35.05" customHeight="1" s="13">
      <c r="A12" s="20" t="inlineStr">
        <is>
          <t>- fade trigger E4</t>
        </is>
      </c>
      <c r="B12" s="15" t="n">
        <v>0.135</v>
      </c>
      <c r="C12" s="15" t="n">
        <v>-0.095</v>
      </c>
      <c r="D12" s="15" t="n">
        <v>27</v>
      </c>
      <c r="E12" s="15" t="n">
        <v>-31</v>
      </c>
      <c r="F12" s="15" t="n">
        <v>3</v>
      </c>
      <c r="G12" s="15" t="inlineStr">
        <is>
          <t>THE capture lever: the desk's 'still loud but less bullish' hypothesis is the single biggest contributor - it earns 7 of the 17 catches.</t>
        </is>
      </c>
    </row>
    <row r="14" ht="23.85" customHeight="1" s="13">
      <c r="A14" s="21" t="inlineStr">
        <is>
          <t>Caveats (the thesis's own, and they apply here too)</t>
        </is>
      </c>
      <c r="B14" s="22" t="inlineStr">
        <is>
          <t>Features are correlated, so single-feature drops UNDERSTATE overlapping ingredients; with 74 detectable peaks, deltas of a catch or two are noise - read the big movements (hype gate, fade trigger), not the decimals.</t>
        </is>
      </c>
      <c r="C14" s="25" t="n"/>
      <c r="D14" s="25" t="n"/>
      <c r="E14" s="25" t="n"/>
      <c r="F14" s="25" t="n"/>
      <c r="G14" s="26" t="n"/>
    </row>
  </sheetData>
  <mergeCells count="2">
    <mergeCell ref="B14:G14"/>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46" customWidth="1" style="12" min="2" max="2"/>
    <col width="50" customWidth="1" style="12" min="3" max="3"/>
  </cols>
  <sheetData>
    <row r="1" ht="25.5" customHeight="1" s="13">
      <c r="A1" s="14" t="inlineStr">
        <is>
          <t>7. ML challenger - walk-forward logistic regression vs the hand-rules</t>
        </is>
      </c>
    </row>
    <row r="3" ht="15" customHeight="1" s="13">
      <c r="A3" s="17" t="inlineStr">
        <is>
          <t>Element</t>
        </is>
      </c>
      <c r="B3" s="17" t="inlineStr">
        <is>
          <t>Specification</t>
        </is>
      </c>
      <c r="C3" s="17" t="inlineStr">
        <is>
          <t>Result / reading</t>
        </is>
      </c>
    </row>
    <row r="4" ht="79.84999999999999" customHeight="1" s="13">
      <c r="A4" s="20" t="inlineStr">
        <is>
          <t>Model</t>
        </is>
      </c>
      <c r="B4" s="15" t="inlineStr">
        <is>
          <t>Logistic regression (class-balanced) on the SAME five features (E1, E2, E3, E5, fade), candidate days = same non-fitted prerequisites (hype + coverage gates). Deliberately the simplest learner: with ~70 positive events, anything bigger memorises (the thesis's GNNs managed ~12% precision on 133 positives - a warning about model appetite vs label supply [1]).</t>
        </is>
      </c>
      <c r="C4" s="15" t="inlineStr">
        <is>
          <t>Label: a detectable peak within [day-1, day+30]. Probability cut-off chosen on TRAIN years by the same utility (hits - 1.0 x FAs). Nothing sees the future.</t>
        </is>
      </c>
    </row>
    <row r="5" ht="35.05" customHeight="1" s="13">
      <c r="A5" s="18" t="inlineStr">
        <is>
          <t>Adoption criterion (fixed BEFORE the numbers)</t>
        </is>
      </c>
      <c r="B5" s="19" t="inlineStr">
        <is>
          <t>Replace the rules only if the ML wins on (a) matched-years utility AND (b) captures at least as many peaks in the most recent year AND (c) at least as many in total.</t>
        </is>
      </c>
      <c r="C5" s="19" t="inlineStr">
        <is>
          <t>(c) exists because a near-silent model can win the utility score by never firing - and a top detector that never fires is not a better top detector.</t>
        </is>
      </c>
    </row>
    <row r="6" ht="23.85" customHeight="1" s="13">
      <c r="A6" s="20" t="inlineStr">
        <is>
          <t>Matched-years result (2022-2026)</t>
        </is>
      </c>
      <c r="B6" s="15" t="inlineStr">
        <is>
          <t>Rules: 4 captured, utility -30. ML: 1 captured, 2 FAs, utility -1.</t>
        </is>
      </c>
      <c r="C6" s="15" t="inlineStr">
        <is>
          <t>ML wins utility by near-silence (criterion (a)) but fails (b) 1&lt;2 and (c) 1&lt;4 -&gt; RULES KEPT.</t>
        </is>
      </c>
    </row>
    <row r="7" ht="57.45" customHeight="1" s="13">
      <c r="A7" s="18" t="inlineStr">
        <is>
          <t>Learned coefficients</t>
        </is>
      </c>
      <c r="B7" s="19" t="inlineStr">
        <is>
          <t>e1 +1.10, e2 +0.83, e5 +0.56, e3 -1.27, fade -0.41.</t>
        </is>
      </c>
      <c r="C7" s="19" t="inlineStr">
        <is>
          <t>The learned model ranks attention extremity and sustained bullishness top - the same features the hand-rules lean on. Independent evidence the rules are not arbitrary. (Negative e3/fade at the daily-probability level vs their alert-level value = level-vs-trigger roles, documented in analytics/euphoria.py.)</t>
        </is>
      </c>
    </row>
    <row r="8" ht="46.25" customHeight="1" s="13">
      <c r="A8" s="20" t="inlineStr">
        <is>
          <t>Verdict</t>
        </is>
      </c>
      <c r="B8" s="15" t="inlineStr">
        <is>
          <t>RULES KEPT. The ML harness stays in the codebase and re-runs on every euphoria rebuild - if richer data (comment backfill) changes the verdict, the criterion is already stated.</t>
        </is>
      </c>
      <c r="C8" s="15" t="inlineStr">
        <is>
          <t>Re-tested automatically; the dashboard shows the comparison table each run.</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2" customWidth="1" style="13" min="1" max="1"/>
    <col width="52" customWidth="1" style="13" min="2" max="2"/>
    <col width="46" customWidth="1" style="13" min="3" max="3"/>
    <col width="40" customWidth="1" style="13" min="4" max="4"/>
  </cols>
  <sheetData>
    <row r="1">
      <c r="A1" s="27" t="inlineStr">
        <is>
          <t>7b. Euphoria START detection - the July-2026 phases study (notebooks 01-04)</t>
        </is>
      </c>
    </row>
    <row r="3">
      <c r="A3" s="28" t="inlineStr">
        <is>
          <t>Item</t>
        </is>
      </c>
      <c r="B3" s="28" t="inlineStr">
        <is>
          <t>Decision / result</t>
        </is>
      </c>
      <c r="C3" s="28" t="inlineStr">
        <is>
          <t>Derivation (no arbitrary numbers)</t>
        </is>
      </c>
      <c r="D3" s="28" t="inlineStr">
        <is>
          <t>Evidence</t>
        </is>
      </c>
    </row>
    <row r="4">
      <c r="A4" s="29" t="inlineStr">
        <is>
          <t>Aim</t>
        </is>
      </c>
      <c r="B4" s="29" t="inlineStr">
        <is>
          <t>Detect the START of GME-scale euphoria episodes from the crowd alone, sparingly; plus confirm the TOP detector.</t>
        </is>
      </c>
      <c r="C4" s="29" t="inlineStr">
        <is>
          <t>Extends the July-2026 re-aim; crowd-only hard rule unchanged (price = ground truth + scoring only).</t>
        </is>
      </c>
      <c r="D4" s="29" t="inlineStr">
        <is>
          <t>notebooks/01-04; analytics/euphoria_phases.py</t>
        </is>
      </c>
    </row>
    <row r="5">
      <c r="A5" s="29" t="inlineStr">
        <is>
          <t>Episode ground truth</t>
        </is>
      </c>
      <c r="B5" s="29" t="inlineStr">
        <is>
          <t>Boom-bust arc trough-&gt;peak-&gt;bust from the EXISTING peak rules G1-G3; trough = the 120d low G2 already measures the boom from.</t>
        </is>
      </c>
      <c r="C5" s="29" t="inlineStr">
        <is>
          <t>No new fitted quantity: every threshold inherited from the validated top study.</t>
        </is>
      </c>
      <c r="D5" s="29" t="inlineStr">
        <is>
          <t>NB01: 333 episodes, 126 onset-detectable, 136 top-detectable</t>
        </is>
      </c>
    </row>
    <row r="6">
      <c r="A6" s="29" t="inlineStr">
        <is>
          <t>Onset hit window</t>
        </is>
      </c>
      <c r="B6" s="29" t="inlineStr">
        <is>
          <t>[trough, trough+45d], CAPPED at the peak; mid-rally alerts = LATE (neither hit nor false).</t>
        </is>
      </c>
      <c r="C6" s="29" t="inlineStr">
        <is>
          <t>45d mirrors the existing FA horizon in score_alerts; cap prevents post-top alerts counting as 'caught the start'. Desk decision, recorded before results.</t>
        </is>
      </c>
      <c r="D6" s="29" t="inlineStr">
        <is>
          <t>NB01 register; test_onset_window_capped_at_peak</t>
        </is>
      </c>
    </row>
    <row r="7">
      <c r="A7" s="29" t="inlineStr">
        <is>
          <t>Feature bank (locked)</t>
        </is>
      </c>
      <c r="B7" s="29" t="inlineStr">
        <is>
          <t>attention_accel, hype_ratio, bull_inflection, influx_speed, attention_convexity.</t>
        </is>
      </c>
      <c r="C7" s="29" t="inlineStr">
        <is>
          <t>Every window derived from existing constants (ROLL=7, 28d E-windows, 14d fade window, 120d hype baseline). source_breadth REJECTED: coverage-regime artifact (X/StockTwits exist only from 2026).</t>
        </is>
      </c>
      <c r="D7" s="29" t="inlineStr">
        <is>
          <t>NB02 battery: per-feature AUROC + cluster-bootstrap CIs, ablation, perturbation</t>
        </is>
      </c>
    </row>
    <row r="8">
      <c r="A8" s="29" t="inlineStr">
        <is>
          <t>Tournament winner</t>
        </is>
      </c>
      <c r="B8" s="29" t="inlineStr">
        <is>
          <t>RULES (unweighted bank mean, coverage + above-median-attention gates). GBM tied on AP but not outside the bootstrap CI -&gt; parsimony; MLP finished below random.</t>
        </is>
      </c>
      <c r="C8" s="29" t="inlineStr">
        <is>
          <t>Criterion pre-stated: AP ranking (thesis 6.2.3), must beat random on AP+AUROC, parsimony CI rule; FA budget derived from the incumbent's accepted 0.23/instr-yr.</t>
        </is>
      </c>
      <c r="D8" s="29" t="inlineStr">
        <is>
          <t>NB03: rules AP 0.098 vs random 0.072; top task: rules AP 0.286 vs random 0.204</t>
        </is>
      </c>
    </row>
    <row r="9">
      <c r="A9" s="29" t="inlineStr">
        <is>
          <t>Validated record</t>
        </is>
      </c>
      <c r="B9" s="29" t="inlineStr">
        <is>
          <t>29/125 detectable onsets captured (23%), 21 late, 169 FA = 0.348/instr-yr (ABOVE the 0.23 budget - stated cost).</t>
        </is>
      </c>
      <c r="C9" s="29" t="inlineStr">
        <is>
          <t>Walk-forward, thresholds from past years only; both denominators always reported.</t>
        </is>
      </c>
      <c r="D9" s="29" t="inlineStr">
        <is>
          <t>NB04: median entry 17d after trough, 66d of rally still ahead</t>
        </is>
      </c>
    </row>
    <row r="10">
      <c r="A10" s="29" t="inlineStr">
        <is>
          <t>Label sensitivity</t>
        </is>
      </c>
      <c r="B10" s="29" t="inlineStr">
        <is>
          <t>Capture rate flat across softened(20/40)/standard(25/50)/hardened(30/60) boom labels: 22.4%, 23.2%, 22.1%.</t>
        </is>
      </c>
      <c r="C10" s="29" t="inlineStr">
        <is>
          <t>Thesis 7.1.2 port: conclusions must survive labelling perturbation.</t>
        </is>
      </c>
      <c r="D10" s="29" t="inlineStr">
        <is>
          <t>NB03 sensitivity table</t>
        </is>
      </c>
    </row>
    <row r="11">
      <c r="A11" s="29" t="inlineStr">
        <is>
          <t>Trading translation</t>
        </is>
      </c>
      <c r="B11" s="29" t="inlineStr">
        <is>
          <t>REJECTED for both ONSET-&gt;BUY and TOP-&gt;SELL under the pre-stated criterion (n&gt;=30, beats same-instrument 20d baseline, CI excludes 0).</t>
        </is>
      </c>
      <c r="C11" s="29" t="inlineStr">
        <is>
          <t>Same treatment as the retired BUY/SELL engine; evidence retained.</t>
        </is>
      </c>
      <c r="D11" s="29" t="inlineStr">
        <is>
          <t>NB04: onset diff -0.63% CI [-0.0151, 0.0026]; top diff -1.55% CI [-0.0563, 0.0263]</t>
        </is>
      </c>
    </row>
    <row r="12">
      <c r="A12" s="29" t="inlineStr">
        <is>
          <t>Dashboard</t>
        </is>
      </c>
      <c r="B12" s="29" t="inlineStr">
        <is>
          <t>New 'Start / End radar' tab: STARTING and ENDING panes, each split Themes | Single names; only names alerted within the 21d cooldown; record printed on the pane.</t>
        </is>
      </c>
      <c r="C12" s="29" t="inlineStr">
        <is>
          <t>Sparse by design - an empty pane is the radar working.</t>
        </is>
      </c>
      <c r="D12" s="29" t="inlineStr">
        <is>
          <t>dashboard.py t_phase; AppTest 0 exceptions</t>
        </is>
      </c>
    </row>
    <row r="13">
      <c r="A13" s="29" t="inlineStr">
        <is>
          <t>Price-assisted END gate (2026-07-24)</t>
        </is>
      </c>
      <c r="B13" s="29" t="inlineStr">
        <is>
          <t>PASSED all pre-stated conditions: G2 boom thresholds as a live prerequisite -&gt; capture 16-&gt;26 detectable tops (matched years), AP 0.286-&gt;0.435, FAs 44-&gt;41, capture-gain CI [+3.5pp,+13pp]. Offered as labelled second signal; claim becomes 'crowd + chart'.</t>
        </is>
      </c>
      <c r="C13" s="29" t="inlineStr">
        <is>
          <t>The gate reuses the ground-truth boom definition on trailing prices - no new constant, no look-ahead.</t>
        </is>
      </c>
      <c r="D13" s="29" t="inlineStr">
        <is>
          <t>NB03 commissioned-test section</t>
        </is>
      </c>
    </row>
    <row r="14">
      <c r="A14" s="29" t="inlineStr">
        <is>
          <t>Combined price+crowd ALERT bank (2026-07-24)</t>
        </is>
      </c>
      <c r="B14" s="29" t="inlineStr">
        <is>
          <t>REJECTED under pre-stated criterion: 65% cliff-30 hit rate indistinguishable from its own 62% candidate-day baseline (CI includes 0). Smoothed-trigger evidence retained: FA 31-&gt;24 at equal capture, median trigger run 6-&gt;8d.</t>
        </is>
      </c>
      <c r="C14" s="29" t="inlineStr">
        <is>
          <t>The alert layer cannot out-predict its own danger state; its job is timing the peak, which it does (median 8d lead).</t>
        </is>
      </c>
      <c r="D14" s="29" t="inlineStr">
        <is>
          <t>NB06 desk-signal study</t>
        </is>
      </c>
    </row>
    <row r="15">
      <c r="A15" s="29" t="inlineStr">
        <is>
          <t>DANGER STATE shipped (2026-07-24)</t>
        </is>
      </c>
      <c r="B15" s="29" t="inlineStr">
        <is>
          <t>The candidacy state (A1 2x hype AND G2 boom) validated as the standing drop-warning: cliff-30 = 62% in-state vs 19% ordinary, uplift CI [+28pp,+50pp]. Rendered as the amber band on every terminal price panel.</t>
        </is>
      </c>
      <c r="C15" s="29" t="inlineStr">
        <is>
          <t>Pure composition of two existing constants; the single most actionable statistic of the project for the PM use case.</t>
        </is>
      </c>
      <c r="D15" s="29" t="inlineStr">
        <is>
          <t>NB06; dashboard danger band; PARAMETER_REGISTER</t>
        </is>
      </c>
    </row>
    <row r="16">
      <c r="A16" s="29" t="inlineStr">
        <is>
          <t>DESK CONFIGURATION adopted: GET OUT (2026-07-24)</t>
        </is>
      </c>
      <c r="B16" s="29" t="inlineStr">
        <is>
          <t>Boom-gated END rules + 7d-smoothed (ROLL) trigger. Walk-forward: capture 24/122 detectable tops, FA 39 (0.195/instr-yr), AP 0.449 (raw gate 0.435), median warning 8d before the peak. Smoothing adopted by pre-stated rule (AP not lower AND FAs not higher); 2-capture cost recorded. Frozen live threshold 0.630 (budget rule, full prior years).</t>
        </is>
      </c>
      <c r="C16" s="29" t="inlineStr">
        <is>
          <t>The desk lifted the crowd-only rule for a labelled SECOND family ('use both price and social media - I want a better hit rate') and demanded no one-day blips. Candidacy = A1 hype AND G2 boom (existing constants only).</t>
        </is>
      </c>
      <c r="D16" s="29" t="inlineStr">
        <is>
          <t>NB06 adopted-configuration section; euphoria_desk_report.json; euphoria_phases.py §6</t>
        </is>
      </c>
    </row>
    <row r="17">
      <c r="A17" s="29" t="inlineStr">
        <is>
          <t>DESK CONFIGURATION adopted: GET IN (2026-07-24)</t>
        </is>
      </c>
      <c r="B17" s="29" t="inlineStr">
        <is>
          <t>Phase-aware onset (end-stage days - A1∧A2∧A3-persistence - excluded from candidacy) + 7d smoothing. Adjacency (START within 21d before an END) 20→2, LATE 21→10, FA 169→124; capture cost 29→20 of 125 RECORDED. Frozen live threshold 0.848. OVERRULES the earlier utility-rule rejection of the phase-aware variant as an explicit desk decision.</t>
        </is>
      </c>
      <c r="C17" s="29" t="inlineStr">
        <is>
          <t>The desk stated three times that a START landing on an END destroys PM trust - adjacency is the binding constraint, so it overrules raw capture. Selection rule pre-stated in NB06; drift guard pins notebook == production.</t>
        </is>
      </c>
      <c r="D17" s="29" t="inlineStr">
        <is>
          <t>NB06; euphoria_desk_report.json; PARAMETER_REGISTER class 5; dashboard GET IN/GET OUT banners</t>
        </is>
      </c>
    </row>
    <row r="18">
      <c r="A18" s="29" t="inlineStr">
        <is>
          <t>Improvement campaign: NOTHING adopted (2026-07-24, NB07)</t>
        </is>
      </c>
      <c r="B18" s="29" t="inlineStr">
        <is>
          <t>Four pre-registered challengers vs the shipped desk configuration (adoption rule pre-stated: more captures, FAs not higher, paired cluster gain CI excluding zero): per-kind thresholds REJECTED (cap 23 vs 24 on unmatched years, though FA halved 39-&gt;16 - WATCH item); logistic-weighted score REJECTED by parsimony (30 vs 24 captures but gain CI [-1,+11] touches zero - WATCH item, auto re-test at year rollover); smoothing sweep w in {1,3,5,7,10,14}: no window dominates w=7; Western-Electric run rules k&gt;1: dominated by the smoothed single crossing.</t>
        </is>
      </c>
      <c r="C18" s="29" t="inlineStr">
        <is>
          <t>The shipped configuration sits at the measured frontier. Watch items re-test automatically at the next --research pass under the same rule.</t>
        </is>
      </c>
      <c r="D18" s="29" t="inlineStr">
        <is>
          <t>NB07 part B; nb07_performance_battery.json; RESEARCH_REPORT 6.9</t>
        </is>
      </c>
    </row>
    <row r="19">
      <c r="A19" s="29" t="inlineStr">
        <is>
          <t>Clustering-as-conviction REJECTED as exit criterion (2026-07-24, NB07)</t>
        </is>
      </c>
      <c r="B19" s="29" t="inlineStr">
        <is>
          <t>The desk's 'buy-buy-buy / sell-sell-sell in a tight window' hypothesis, both forms: per-instrument intensity (trigger days in trailing 21d cooldown; STRONG = 2+ days) - cliff-30 rate 52.9% vs 55.9% single-day, uplift CI [-21pp,+22pp] straddles zero; cross-market breadth (share of names in GET OUT within 7d, top decile) - basket fwd-21d not separable at 90% (block bootstrap). A second GET OUT inside an episode is the same sell, not more sell.</t>
        </is>
      </c>
      <c r="C19" s="29" t="inlineStr">
        <is>
          <t>The exit criterion remains the GET OUT alert itself; the cooldown + smoothed trigger already absorb repetition. The standing warning remains the danger-state band (NB06).</t>
        </is>
      </c>
      <c r="D19" s="29" t="inlineStr">
        <is>
          <t>NB07 part C; RESEARCH_REPORT 6.9</t>
        </is>
      </c>
    </row>
    <row r="20">
      <c r="A20" s="29" t="inlineStr">
        <is>
          <t>Performance battery adopted into the research record (2026-07-24, NB07)</t>
        </is>
      </c>
      <c r="B20" s="29" t="inlineStr">
        <is>
          <t>Literature-grounded metrics added: PR/F1/MCC at the operating point (Davis &amp; Goadrich; Chicco &amp; Jurman), delay-vs-FA frontier (Page 1954), MacKinlay CAR with cluster CIs, reliability diagram (Murphy &amp; Winkler), Grinold-Kahn IC, overlay Sharpe/Sortino (descriptive). The positive daily IC (+0.11) is recorded as PROOF the detector is an episode alarm, not daily alpha - a defense point, not a defect.</t>
        </is>
      </c>
      <c r="C20" s="29" t="inlineStr">
        <is>
          <t>Desk asked for more metrics based on the research literature; every measure names its source in NB07 and the report references section.</t>
        </is>
      </c>
      <c r="D20" s="29" t="inlineStr">
        <is>
          <t>NB07 part A; RESEARCH_REPORT 6.9 + references 8-14</t>
        </is>
      </c>
    </row>
  </sheetData>
  <pageMargins left="0.75" right="0.75" top="1" bottom="1" header="0.5" footer="0.5"/>
</worksheet>
</file>

<file path=xl/worksheets/sheet11.xml><?xml version="1.0" encoding="utf-8"?>
<worksheet xmlns="http://schemas.openxmlformats.org/spreadsheetml/2006/main">
  <sheetPr filterMode="0">
    <outlinePr summaryBelow="1" summaryRight="1"/>
    <pageSetUpPr fitToPage="0"/>
  </sheetPr>
  <dimension ref="A1:C3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 min="1" max="1"/>
    <col width="54" customWidth="1" style="12" min="2" max="2"/>
    <col width="46" customWidth="1" style="12" min="3" max="3"/>
  </cols>
  <sheetData>
    <row r="1" ht="25.5" customHeight="1" s="13">
      <c r="A1" s="14" t="inlineStr">
        <is>
          <t>8. Influence Tracker - the thesis method on our data [1]</t>
        </is>
      </c>
    </row>
    <row r="3" ht="15" customHeight="1" s="13">
      <c r="A3" s="17" t="inlineStr">
        <is>
          <t>Component</t>
        </is>
      </c>
      <c r="B3" s="17" t="inlineStr">
        <is>
          <t>Implementation</t>
        </is>
      </c>
      <c r="C3" s="17" t="inlineStr">
        <is>
          <t>Thesis grounding</t>
        </is>
      </c>
    </row>
    <row r="4" ht="35.05" customHeight="1" s="13">
      <c r="A4" s="20" t="inlineStr">
        <is>
          <t>Call extraction</t>
        </is>
      </c>
      <c r="B4" s="15" t="inlineStr">
        <is>
          <t>Every authored post/comment mentioning a ticker with |VADER| &gt;= 0.20 = a directional CALL (author, date, ticker, +/-1, stance strength). Neutral chatter is not a call.</t>
        </is>
      </c>
      <c r="C4" s="15" t="inlineStr">
        <is>
          <t>Thesis extracts forecasts with an LLM (macro-F1 0.78); we use the project's lexicon scorer - same taxonomy (explicit + implied direction), upgrade path on sheet 11.</t>
        </is>
      </c>
    </row>
    <row r="5" ht="46.25" customHeight="1" s="13">
      <c r="A5" s="18" t="inlineStr">
        <is>
          <t>Volatility-scaled judging</t>
        </is>
      </c>
      <c r="B5" s="19" t="inlineStr">
        <is>
          <t>Correct iff the 20d move clears tau = max(3%, 0.5 x sigma_90d) for THAT name; abnormal-return z vs the name's own trailing 90d distribution; ENHANCED correct = direction right AND &gt;= 1 sigma abnormal.</t>
        </is>
      </c>
      <c r="C5" s="19" t="inlineStr">
        <is>
          <t>Thesis sec 4.5: tau = max(tau0, 0.5 sigma) - one fixed bar would misgrade an index ETF and a meme stock with the same ruler. Same construction, domain-scaled (3% floor on 20d equity moves vs 0.25% hourly crypto).</t>
        </is>
      </c>
    </row>
    <row r="6" ht="46.25" customHeight="1" s="13">
      <c r="A6" s="20" t="inlineStr">
        <is>
          <t>Usefulness scores</t>
        </is>
      </c>
      <c r="B6" s="15" t="inlineStr">
        <is>
          <t>s_conf = stance-weighted accuracy (shrink a=10); s_z = x w(z), w(z)=clip(1+|z|, 0.1, 2.0) (a=5); s_enh = stance-weighted enhanced accuracy (a=10). Min-max normalise, COMPOSITE = 0.4/0.4/0.2, HIGH tier &gt;= 0.66.</t>
        </is>
      </c>
      <c r="C6" s="15" t="inlineStr">
        <is>
          <t>Thesis sec 4.6 verbatim: the exact weights, shrinkage strengths (z shrinks less - a big-|z| hit is itself evidence) and tier cutoff. Stance magnitude stands in for the thesis's LLM confidence field.</t>
        </is>
      </c>
    </row>
    <row r="7" ht="68.65000000000001" customHeight="1" s="13">
      <c r="A7" s="18" t="inlineStr">
        <is>
          <t>Interaction graph</t>
        </is>
      </c>
      <c r="B7" s="19" t="inlineStr">
        <is>
          <t>Undirected weighted author graph from reply edges (comment-&gt;comment via parent ids AND comment-&gt;post via link ids); bot filters: edge weight cap 100, broadcast accounts (&gt;1000 comments / &gt;100 posts) excluded, star-topology filter on graphs &gt;= 50 nodes; degree, weighted degree, PageRank (power iteration, d=0.85).</t>
        </is>
      </c>
      <c r="C7" s="19" t="inlineStr">
        <is>
          <t>Thesis ch 4-5: same construction + cleaning table. Its ablation found PageRank the single most beneficial structural feature and raw degree HARMFUL - so the board never ranks by size.</t>
        </is>
      </c>
    </row>
    <row r="8" ht="57.45" customHeight="1" s="13">
      <c r="A8" s="20" t="inlineStr">
        <is>
          <t>Loud-but-wrong flag</t>
        </is>
      </c>
      <c r="B8" s="15" t="inlineStr">
        <is>
          <t>Top-quartile PageRank AND below-median composite.</t>
        </is>
      </c>
      <c r="C8" s="15" t="inlineStr">
        <is>
          <t>The thesis's false-positive profile made a column: its FP group had 3x the degree, 2x the PageRank and 40.2% accuracy vs 79.2% for the quiet true positives - the accounts a 'follow the big names' desk copies, and the evidence says to fade.</t>
        </is>
      </c>
    </row>
    <row r="9" ht="23.85" customHeight="1" s="13">
      <c r="A9" s="18" t="inlineStr">
        <is>
          <t>Boom/bust record</t>
        </is>
      </c>
      <c r="B9" s="19" t="inlineStr">
        <is>
          <t>Bearish calls inside [peak-30d, peak+5d] of a confirmed euphoria top = 'called the top'; bullish there = 'bought the top'.</t>
        </is>
      </c>
      <c r="C9" s="19" t="inlineStr">
        <is>
          <t>Connects the tracker to the project's aim: WHO calls tops is the actionable output.</t>
        </is>
      </c>
    </row>
    <row r="10" ht="68.65000000000001" customHeight="1" s="13">
      <c r="A10" s="20" t="inlineStr">
        <is>
          <t>Storage decision (REVERSED July 2026)</t>
        </is>
      </c>
      <c r="B10" s="15" t="inlineStr">
        <is>
          <t>The store is now COMMITTED: pseudonymous public author ids, text-free by a hard write-time check (FORBIDDEN-columns), one shared leaderboard both machines extend; only the per-machine ingest ledger stays local. Every update_data.py run extends the store incrementally (per-file ledger: only NEW raw files are parsed).</t>
        </is>
      </c>
      <c r="C10" s="15" t="inlineStr">
        <is>
          <t>Thesis ethics sec 8.3.2 rationale: public pseudonymous identifiers used solely as node ids; no private data collected. Desk decision so live data keeps building one shared record.</t>
        </is>
      </c>
    </row>
    <row r="12">
      <c r="A12" s="31" t="inlineStr">
        <is>
          <t>How the tab is READ - display decisions (2026-07-27 re-cut, after the desk said 'I still dont get it')</t>
        </is>
      </c>
      <c r="B12" s="31" t="n"/>
      <c r="C12" s="31" t="n"/>
    </row>
    <row r="13">
      <c r="A13" s="17" t="inlineStr">
        <is>
          <t>Decision</t>
        </is>
      </c>
      <c r="B13" s="17" t="inlineStr">
        <is>
          <t>What ships</t>
        </is>
      </c>
      <c r="C13" s="17" t="inlineStr">
        <is>
          <t>Class and reason</t>
        </is>
      </c>
    </row>
    <row r="14">
      <c r="A14" s="18" t="inlineStr">
        <is>
          <t>Section ORDER: exhibits first, board fourth (2026-07-27)</t>
        </is>
      </c>
      <c r="B14" s="19" t="inlineStr">
        <is>
          <t>The tab opens with what the panel is PUSHING (bubble chart), then week by week, then who is behind one name, and only then the board of authors; the map and the two contrarian boards follow. It used to open with a list of usernames.</t>
        </is>
      </c>
      <c r="C14" s="19" t="inlineStr">
        <is>
          <t>DESK DECISION. A PM does not trade a list of accounts, they trade positioning - so the board sits under the exhibits it is the evidence for. No computation changed; ordering only.</t>
        </is>
      </c>
    </row>
    <row r="15">
      <c r="A15" s="18" t="inlineStr">
        <is>
          <t>Unit: influence 0-100 instead of the raw composite (2026-07-27)</t>
        </is>
      </c>
      <c r="B15" s="19" t="inlineStr">
        <is>
          <t>influence_index(board) = 100 x composite / composite.max(); the real store's max is 0.9854740019093133. The raw min-max composite is no longer printed anywhere on the tab, nor is the HIGH-tier cut (&gt;=0.66).</t>
        </is>
      </c>
      <c r="C15" s="19" t="inlineStr">
        <is>
          <t>DERIVED, and rank-identical. A positive rescaling cannot reorder anything, so no conclusion moved. Reason for the change is measured desk feedback: '0.987' printed next to a tier boundary reads as an accuracy, which it is not.</t>
        </is>
      </c>
    </row>
    <row r="16">
      <c r="A16" s="18" t="inlineStr">
        <is>
          <t>Unit: backing as a SHARE of the room's conviction (2026-07-27)</t>
        </is>
      </c>
      <c r="B16" s="19" t="inlineStr">
        <is>
          <t>backing_share = 100 x weighted_voices / sum(weighted_voices), bounded 0-100 and additive. Measured 30d cross-section, 51 names: MSFT 26.10%, ADBE 7.05, FICO 4.82, INTU 4.04, MELI 3.58, tail STRC 0.17.</t>
        </is>
      </c>
      <c r="C16" s="19" t="inlineStr">
        <is>
          <t>DERIVED. A bare sum ('3.42') has no unit and cannot be compared between two windows or two names; a share can be spoken aloud, is immune to the long tail, and sums to a checkable 100.</t>
        </is>
      </c>
    </row>
    <row r="17">
      <c r="A17" s="18" t="inlineStr">
        <is>
          <t>REJECTED: backing as a MULTIPLE of the median name, and the A1 analogy WITHDRAWN (2026-07-27)</t>
        </is>
      </c>
      <c r="B17" s="19" t="inlineStr">
        <is>
          <t>backing_ratio = weighted / median(weighted) was built, measured and removed. Week to 2026-06-28: 163 names, median backing 0.24, so MSFT printed 141x. Weekly maxima 141x / 41x / 2.7x / 14x / 26x at 30d and 171x at 90d; with authors=None the median is exactly 0 and every ratio returned NaN.</t>
        </is>
      </c>
      <c r="C17" s="19" t="inlineStr">
        <is>
          <t>REJECTED ON DATA. It was justified as mirroring the euphoria detector's A1 convention ('2x its own 120d median'). That argument is formally withdrawn: A1 anchors a name to ITS OWN history, a stable reference, whereas the median NAME in a cross-section is a ticker mentioned once by one person. Kept in this register because it was a recorded encoding decision before it was a rejected one.</t>
        </is>
      </c>
    </row>
    <row r="18">
      <c r="A18" s="18" t="inlineStr">
        <is>
          <t>The reference line is DERIVED, not chosen (2026-07-27)</t>
        </is>
      </c>
      <c r="B18" s="19" t="inlineStr">
        <is>
          <t>even_share(n) = 100 / n - what each name would show if attention were split evenly. 2.0% across the 51 names in the 30d window, against MSFT's 26.1%, i.e. thirteen times an even share. Drawn per-week on the time chart, once on the cross-section. Replaces a 1.0x median hairline.</t>
        </is>
      </c>
      <c r="C18" s="19" t="inlineStr">
        <is>
          <t>DERIVED from the count of names in the window, so there is no number to defend. This is the project's standing rule applied to a chart annotation: no arbitrary thresholds, including visual ones.</t>
        </is>
      </c>
    </row>
    <row r="19">
      <c r="A19" s="18" t="inlineStr">
        <is>
          <t>The share DENOMINATOR is fixed before any filter (2026-07-27)</t>
        </is>
      </c>
      <c r="B19" s="19" t="inlineStr">
        <is>
          <t>Both crowding_history (before the ticker filter) and fig_influence_bubbles (before head(top_n)) compute the share and the even-split line over the WHOLE window. The figure now receives the full digest plus top_n rather than an already-truncated frame.</t>
        </is>
      </c>
      <c r="C19" s="19" t="inlineStr">
        <is>
          <t>BUG FIX, found by screenshotting the rendered chart. The chart printed MSFT at 29.5% (30 drawn names) while the KPI one row above printed 26.10% (51 names in the window), and the even line read 100/30 = 3.3% instead of 100/51 = 2.0%. One quantity cannot have two values on one screen. The dropped tail still counts in the denominator - that is the point of a share.</t>
        </is>
      </c>
    </row>
    <row r="20">
      <c r="A20" s="18" t="inlineStr">
        <is>
          <t>Time panels use ALL recorded voices, not the top-N panel (2026-07-27)</t>
        </is>
      </c>
      <c r="B20" s="19" t="inlineStr">
        <is>
          <t>The weekly tilt and per-name share history are computed over all 340 authors with &gt;=5 judged calls, independent of the panel_n slider. Top-25 weeks held 124, 25, 1, 23, 9 calls (the 1-call week is one name at 100% by definition) against 733, 404, 23, 98, 155 calls over 14-171 names for the full pool.</t>
        </is>
      </c>
      <c r="C20" s="19" t="inlineStr">
        <is>
          <t>DERIVED from what a time series IS: a series whose population changes when a display slider moves is not comparable week to week. Measured counts are recorded here because they are the reason, not an illustration of it.</t>
        </is>
      </c>
    </row>
    <row r="21">
      <c r="A21" s="18" t="inlineStr">
        <is>
          <t>Thin weeks are ENCODED, never gated (2026-07-27)</t>
        </is>
      </c>
      <c r="B21" s="19" t="inlineStr">
        <is>
          <t>Tilt-marker area is proportional to n_calls (sizemode='area', sizeref=2.0*cmax/20^2, sizemin=4). No week is dropped and no minimum call count exists.</t>
        </is>
      </c>
      <c r="C21" s="19" t="inlineStr">
        <is>
          <t>Standing project rule: encode evidence, do not gate on it. A minimum-calls filter would be exactly the arbitrary threshold the desk has ruled out; a small dot says 'thin week' honestly and lets the reader decide.</t>
        </is>
      </c>
    </row>
    <row r="22">
      <c r="A22" s="18" t="inlineStr">
        <is>
          <t>Label de-collision: the ONLY pixel-level rule on this project (2026-07-27)</t>
        </is>
      </c>
      <c r="B22" s="19" t="inlineStr">
        <is>
          <t>dashboard._thin_labels suppresses a ticker label only when its box overlaps an already-placed one in BOTH directions; the weekly chart instead NUDGES end-of-line names apart as annotations. Gaps derived from geometry: 13px = one 10pt line box at 1.3 leading, 30px = a four-character ticker's width. Greedy in descending y; ties resolve to the earlier (better-backed) row.</t>
        </is>
      </c>
      <c r="C22" s="19" t="inlineStr">
        <is>
          <t>PERMITTED because it is a rule about INK, not about DATA: every point is still drawn, still hovers, and still appears in the exact-numbers table, so nothing decides which names MATTER. Fenced by five unit tests in TestChartLabelLayout so it stays the only one. Triggered by INTU (4.04%) and MELI (3.58%) sitting 0.46pp = ~9px apart when a 10pt label needs 13px, and by MSTR/ADBE both ending near 0.3% as one illegible smear.</t>
        </is>
      </c>
    </row>
    <row r="23" s="13">
      <c r="A23" s="18" t="inlineStr">
        <is>
          <t>REMOVED: fig_consensus (2026-07-27)</t>
        </is>
      </c>
      <c r="B23" s="19" t="inlineStr">
        <is>
          <t>The stand-alone consensus bar chart is deleted. It plotted the same per-ticker consensus the bubble chart carries on its x-axis, with the bubble chart's y-axis folded into bar opacity - its own docstring said so.</t>
        </is>
      </c>
      <c r="C23" s="19" t="inlineStr">
        <is>
          <t>Redundant exhibit. Its ENCODING decision is retained deliberately (bar length = direction, bar fade = weight of evidence, because bar length saturates at three agreeing voices) so the reasoning survives the chart, per the standing rule that anything used for a decision is recorded even after deletion.</t>
        </is>
      </c>
    </row>
    <row r="24">
      <c r="A24" s="18" t="inlineStr">
        <is>
          <t>REMOVED FROM DISPLAY: per-author hit rate (2026-07-27)</t>
        </is>
      </c>
      <c r="B24" s="19" t="inlineStr">
        <is>
          <t>No hit rate is shown for any individual author anywhere on the tab; the board shows influence 0-100 and each author's tickers. The stored hit_rate column in author_scores.parquet is UNCHANGED and a schema test asserts it, and analytics/influence.py still computes it.</t>
        </is>
      </c>
      <c r="C24" s="19" t="inlineStr">
        <is>
          <t>DESK DECISION ('dont include hit rate for users just show their influence and their stock tickers'), and it agrees with the measured limitation: per-author hit rates at n&gt;=5 judged calls are too thin to read as skill, and the cohort split shows the record does not generalise to unseen authors anyway.</t>
        </is>
      </c>
    </row>
    <row r="25" s="13">
      <c r="A25" s="18" t="inlineStr">
        <is>
          <t>Offensive handles masked ON SCREEN ONLY, span-level (2026-07-28)</t>
        </is>
      </c>
      <c r="B25" s="19" t="inlineStr">
        <is>
          <t>analytics/plain_english.censor / censor_series replace only the offending SPAN with '**', at the nine places a handle becomes a string a human reads: the map's hover and its label annotations, the ticker-backers y-axis, the backers table, the leaderboard (censored LAST, after the _push merge), both warning boards, the author-calls-wide table, and the ego selector (via format_func, so the widget still returns the true key). influence_graph.ticker_voices censors its hover text and keeps top_author true. The STORE IS NEVER REWRITTEN.</t>
        </is>
      </c>
      <c r="C25" s="19" t="inlineStr">
        <is>
          <t>CONVENTION, honestly labelled - there is no ground truth for 'offensive', so no bootstrap can make a word list evidence-backed. What IS evidence is the measured behaviour over all 12,528 real handles, and every tier assignment was decided by COUNTING hits and reading them. A naive one-list substring scan flagged 345 and was dominated by false positives (AfraidAnalyst, Valuable-Analyst-464, MeridianAllocation, seven Grapefruit handles, two Cockroach handles, SatoshiTrails, sobewankanobe, lulubooboo28...). Three measured corrections: (i) a substring match must lie inside ONE token, which alone kills SatoshiTrails ('shit' spanning oshi|Trails) and MeridianAllocation ('anal' spanning Meridian|Allocation) at the cost of no word list at all; (ii) six stems DEMOTED to whole-token matching on counted evidence - anal 3 innocent v 2 genuine, rape 7 v 0, cock 3 innocent, boob 2 innocent, piss 1 v 0, wank 1 v 0; (iii) suck/kill/damn/hell/crap/ball dropped entirely. Two promotions tested and adopted (retard 10/10 genuine, boobs 3/3), one tested and REJECTED (tits: 2 hits, one genuine Murrrtits and one not Iplayminecraftitsfun, both single tokens - a 50% error rate is not worth one handle). Fixed-point iteration is required and the proof is a real case, not defensiveness: Buttslut69696969 tokenises as [Buttslut, 69696969], so pass 1 removes only 'slut' and yields Butt**69696969 - where Butt IS now a whole token; that case FAILED the store-wide test before the fix. Direction of error is deliberate: UNDER-mask, because a missed handle is one embarrassing name on a board everyone knows is scraped from Reddit while an over-masked handle corrupts identity for every reader. Display-layer only because 'author' is the join key across author_scores / calls / reply_edges - masking it would collide distinct authors and destroy the ability to re-judge anyone against new prices. MEASURED FINAL STATE: 97 of 12,528 masked (0.774%), 12,528 unique handles -&gt; 12,528 unique censored strings (ZERO collisions, which is what makes this safe on a plotly category axis and in a leaderboard), one residual false positive (sashitadesol -&gt; sa**adesol), and named known misses (Cockballzz, redditsuckscockss, TRASHTALKINGCOCKSTAR, 3boobsarenice, eskimoboob, analbuttlick, Murrrtits, BallSmashingForever). On-screen relevance is real: 4 of the top 120 by composite and 1 of the 25 HIGH-tier authors. RECORDED LIMITATION: English only - fickdichdock sits unmasked on the loud-but-wrong board, and extending to other languages would multiply the false-positive surface across every language's innocent vocabulary. Six tests in TestHandleCensoring, including one asserting the parquet holds no '**'.</t>
        </is>
      </c>
    </row>
    <row r="26" s="13">
      <c r="A26" s="18" t="inlineStr">
        <is>
          <t>REJECTED: influence convergence as a bullish / euphoria indicator (2026-07-28)</t>
        </is>
      </c>
      <c r="B26" s="19" t="inlineStr">
        <is>
          <t>Three candidates were pre-registered against the house outcome (a &gt;10% fall inside a week, any time in the next 30 days) BEFORE any number was seen: C1 breadth (weighted count of distinct voices), C2 convergence (breadth x agreement, where agreement = |sum w.s| / sum w.|s|), C3 backing share. Authors were weighted continuously by influence_index/100 in [0,1] rather than cut at the HIGH tier - the tier is unusable as a population here (25 HIGH vs 12,503 low; only 234 of 27,881 live calls come from a HIGH author) and a continuous weight invents no threshold at all. Paired bootstrap on INSTRUMENT, 5 seeds x 300 reps, Bonferroni n=3 -&gt; confidence 0.98333; adoption required the WORST seed's lower bound to clear zero. On 15,615 name-days / 233 instruments (2026-04-08 to 2026-06-15, base rate 0.539): C1 -0.0291 (lo -0.1701), C2 -0.0153 (-0.1513), C3 -0.0103 (-0.1706). ADOPTED: NONE. No code from this test remains anywhere in the repo.</t>
        </is>
      </c>
      <c r="C26" s="19" t="inlineStr">
        <is>
          <t>REJECTED ON DATA, and the null is INFORMATIVE because the harness has a positive control: the accepted euphoria level run through the identical harness on the identical days DETECTS (top decile 0.846 vs 0.414, diff +0.4321, lo +0.0623; level &gt;= 85 0.925 vs 0.428, diff +0.4970, lo +0.2515). The decisive exhibit is like-for-like - on the control's OWN 1,552 name-days / 23 instruments, same 156-day state size, base rate 0.457, all three candidates are WRONG-SIGNED: C1 0.237 vs 0.482 (-0.2449), C2 0.250 vs 0.481 (-0.2307), C3 0.282 vs 0.477 (-0.1950). They are not underpowered; they point the other way. Evidence: PARAMETER_REGISTER Class 6c.</t>
        </is>
      </c>
    </row>
    <row r="27" s="13">
      <c r="A27" s="18" t="inlineStr">
        <is>
          <t>The negative sign is DIAGNOSED, not just reported (2026-07-28)</t>
        </is>
      </c>
      <c r="B27" s="19" t="inlineStr">
        <is>
          <t>Top-decile-breadth names by state-days: MSFT 64, NVDA 59, TSLA 56, AMZN 46, RDDT 45, INTC 44, AAPL 44, SNDK 38, GOOGL 37, MSTR 37. The between-name split is nearly flat: 'ever top-decile' 0.534 (n=6,576) vs 'never' 0.542 (n=9,039).</t>
        </is>
      </c>
      <c r="C27" s="19" t="inlineStr">
        <is>
          <t>COMPOSITION EFFECT, not a signal. The influence board converges on the most-discussed liquid mega-caps, which cliff less often than the small-cap tail - so the effect is cross-sectional (WHICH names) rather than temporal (WHEN), which is exactly what disqualifies it as a timing indicator. Recorded because 'it did not work' is a weaker defence than 'it did not work, and here is why it could not have'.</t>
        </is>
      </c>
    </row>
    <row r="28" s="13">
      <c r="A28" s="18" t="inlineStr">
        <is>
          <t>SHIPPED INSTEAD: the crowding exhibit rolled up to THEMES, information only (2026-07-28)</t>
        </is>
      </c>
      <c r="B28" s="19" t="inlineStr">
        <is>
          <t>The influence tab's bubble chart gained a names/themes toggle. Same chart, same arithmetic, different grouping key: suggestion_digest and theme_digest both delegate to ONE _digest_frame(c, key), so the two views cannot drift. Themes use the SAME membership as the euphoria Themes tab (src/themes.py). Live 90-day reading: AI megacap 26.6% of the room's conviction at consensus +0.807; semiconductors 10.2% at +0.222.</t>
        </is>
      </c>
      <c r="C28" s="19" t="inlineStr">
        <is>
          <t>This answers the LEGIBILITY half of the desk's question ('anyway to make that clearer?'), which is separable from the predictive half and did not have to clear the hit-rate bar. It earns its place by making a distinction the ticker view could not: AI megacap is a genuine convergence, semiconductors at +0.222 is visibly an ARGUMENT. The chart carries the rejection above in its own caption, with the numbers, so it cannot be read as the indicator that was rejected.</t>
        </is>
      </c>
    </row>
    <row r="29" s="13">
      <c r="A29" s="18" t="inlineStr">
        <is>
          <t>A ticker in several themes counts in EVERY one; unmapped calls are DROPPED, not bucketed (2026-07-28)</t>
        </is>
      </c>
      <c r="B29" s="19" t="inlineStr">
        <is>
          <t>explode_to_themes duplicates a call into each of its ticker's themes (NVDA is semiconductors AND ai AND ai_megacap) and drops calls on tickers in no theme.</t>
        </is>
      </c>
      <c r="C29" s="19" t="inlineStr">
        <is>
          <t>DESK DECISION, both halves. A PM asking 'is the panel crowded into AI' must see the NVDA call, so one-primary-theme would answer a different question. The consequence is stated on the control itself: theme shares are shares of the THEME-MAPPED room, a different denominator from the ticker room, so the two views are not expected to agree name-for-name. 'Other' is refused because it is not a theme a PM can position in, and on the live store it is 58.5% of live calls - it would be the largest bar on the chart purely by being a residue.</t>
        </is>
      </c>
    </row>
    <row r="30" s="13">
      <c r="A30" s="18" t="inlineStr">
        <is>
          <t>Label widths are MEASURED off the labels drawn, not assumed (2026-07-28)</t>
        </is>
      </c>
      <c r="B30" s="19" t="inlineStr">
        <is>
          <t>_thin_labels gained an optional label_w_px; the bubble chart passes 30px/4chars = 7.5px per character. Centred labels collide when the gap between centres is under the mean of their two widths.</t>
        </is>
      </c>
      <c r="C30" s="19" t="inlineStr">
        <is>
          <t>DERIVED from the already-accepted 30px gap rather than a new constant. The 30px default is only correct because every ticker is ~4 characters; 'Robotics automation' is nineteen. With all widths equal to 30px the new expression IS the old scalar rule, so the ticker view is unchanged BY CONSTRUCTION - verified: old and new keep the identical 11 and 17 labels on the live 30d and 90d cross-sections.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2" customWidth="1" style="13" min="1" max="1"/>
    <col width="52" customWidth="1" style="13" min="2" max="2"/>
    <col width="46" customWidth="1" style="13" min="3" max="3"/>
    <col width="40" customWidth="1" style="13" min="4" max="4"/>
  </cols>
  <sheetData>
    <row r="1">
      <c r="A1" s="27" t="inlineStr">
        <is>
          <t>8b. Influential-users MODEL - thesis chapter 6 ported to the live store (notebook 05)</t>
        </is>
      </c>
    </row>
    <row r="3">
      <c r="A3" s="28" t="inlineStr">
        <is>
          <t>Item</t>
        </is>
      </c>
      <c r="B3" s="28" t="inlineStr">
        <is>
          <t>Decision / result</t>
        </is>
      </c>
      <c r="C3" s="28" t="inlineStr">
        <is>
          <t>Derivation</t>
        </is>
      </c>
      <c r="D3" s="28" t="inlineStr">
        <is>
          <t>Evidence</t>
        </is>
      </c>
    </row>
    <row r="4">
      <c r="A4" s="29" t="inlineStr">
        <is>
          <t>Question</t>
        </is>
      </c>
      <c r="B4" s="29" t="inlineStr">
        <is>
          <t>Can HIGH-predictive authors be identified from behaviour + graph position BEFORE reading their track record? (The thesis's core contribution.)</t>
        </is>
      </c>
      <c r="C4" s="29" t="inlineStr">
        <is>
          <t>Thesis ch.3+6: semi-supervised node classification under class imbalance.</t>
        </is>
      </c>
      <c r="D4" s="29" t="inlineStr">
        <is>
          <t>notebooks/05; analytics/influence_ml.py</t>
        </is>
      </c>
    </row>
    <row r="5">
      <c r="A5" s="29" t="inlineStr">
        <is>
          <t>Labels</t>
        </is>
      </c>
      <c r="B5" s="29" t="inlineStr">
        <is>
          <t>HIGH tier = composite &gt;= 0.66 among authors with &gt;= 1 judged call; others stay as unlabelled graph context.</t>
        </is>
      </c>
      <c r="C5" s="29" t="inlineStr">
        <is>
          <t>Composite already implemented verbatim from thesis 4.6 in influence.py.</t>
        </is>
      </c>
      <c r="D5" s="29" t="inlineStr">
        <is>
          <t>influence.py HIGH_TIER</t>
        </is>
      </c>
    </row>
    <row r="6">
      <c r="A6" s="29" t="inlineStr">
        <is>
          <t>Leakage guard</t>
        </is>
      </c>
      <c r="B6" s="29" t="inlineStr">
        <is>
          <t>composite, s_conf/s_z/s_enh, hit_rate, tier NEVER used as features.</t>
        </is>
      </c>
      <c r="C6" s="29" t="inlineStr">
        <is>
          <t>Thesis 6.2: labelling-pipeline features excluded to prevent leakage.</t>
        </is>
      </c>
      <c r="D6" s="29" t="inlineStr">
        <is>
          <t>influence_ml.py LEAKAGE set + assert</t>
        </is>
      </c>
    </row>
    <row r="7">
      <c r="A7" s="29" t="inlineStr">
        <is>
          <t>Models</t>
        </is>
      </c>
      <c r="B7" s="29" t="inlineStr">
        <is>
          <t>random | feature-only MLP | structure-only LabelProp | sage_lite (one GraphSAGE mean-aggregation layer).</t>
        </is>
      </c>
      <c r="C7" s="29" t="inlineStr">
        <is>
          <t>Scaled to label supply: thesis's own GNNs reached ~12% precision on 133 positives - bigger models memorise.</t>
        </is>
      </c>
      <c r="D7" s="29" t="inlineStr">
        <is>
          <t>thesis Table 7.1 benchmark: GraphSAGE AP 0.140, AUROC 0.632</t>
        </is>
      </c>
    </row>
    <row r="8">
      <c r="A8" s="29" t="inlineStr">
        <is>
          <t>Discipline</t>
        </is>
      </c>
      <c r="B8" s="29" t="inlineStr">
        <is>
          <t>Stratified 60/20/20, seeds 42/100/2026, class weights, threshold = max precision s.t. recall &gt;= 0.05 on validation, AP+AUROC on test; category ablation + random/DICE graph perturbation.</t>
        </is>
      </c>
      <c r="C8" s="29" t="inlineStr">
        <is>
          <t>Thesis 6.2 + 7.2, kept exactly.</t>
        </is>
      </c>
      <c r="D8" s="29" t="inlineStr">
        <is>
          <t>influence_ml.py evaluate/ablate/perturb</t>
        </is>
      </c>
    </row>
    <row r="9">
      <c r="A9" s="29" t="inlineStr">
        <is>
          <t>Status</t>
        </is>
      </c>
      <c r="B9" s="29" t="inlineStr">
        <is>
          <t>CONCLUDED 2026-07-27. Store matured (5,071 authors with &gt;=1 judged call; 107k accounts / 259k reply edges raw); notebook 05 executed clean and its verdict now feeds the dashboard's influence tab.</t>
        </is>
      </c>
      <c r="C9" s="29" t="inlineStr">
        <is>
          <t>Supersedes the STANDING EXPERIMENT status: the maturity criterion below was met (237 positives under the shipped label regime).</t>
        </is>
      </c>
      <c r="D9" s="29" t="inlineStr">
        <is>
          <t>notebooks/05_influence_users_model.ipynb; docs/research/nb05_influence.json</t>
        </is>
      </c>
    </row>
    <row r="10">
      <c r="A10" s="29" t="inlineStr">
        <is>
          <t>Maturity criterion</t>
        </is>
      </c>
      <c r="B10" s="29" t="inlineStr">
        <is>
          <t>Model outputs become decision-grade only at &gt;= 130 labelled positives (the scale where the thesis's best model still only reached ~12% operating precision). Until then: research companion, never a desk ranking.</t>
        </is>
      </c>
      <c r="C10" s="29" t="inlineStr">
        <is>
          <t>Pre-stated NOW, before the store is big - no moving goalposts later.</t>
        </is>
      </c>
      <c r="D10" s="29" t="inlineStr">
        <is>
          <t>NB05 verdict cell</t>
        </is>
      </c>
    </row>
    <row r="11">
      <c r="A11" s="29" t="inlineStr">
        <is>
          <t>Model bank (final)</t>
        </is>
      </c>
      <c r="B11" s="29" t="inlineStr">
        <is>
          <t>Eight architectures per thesis 6.1: random floor | logit | mlp | label_prop | gcn_lite | sage_lite | mixhop_lite | h2gcn_lite. GAT deliberately NOT ported.</t>
        </is>
      </c>
      <c r="C11" s="29" t="inlineStr">
        <is>
          <t>GAT's attention must LEARN per-edge weights; ~250 positives cannot support it, so mixhop_lite is the named small-data stand-in. Refusing a layer we cannot train is itself the decision.</t>
        </is>
      </c>
      <c r="D11" s="29" t="inlineStr">
        <is>
          <t>notebooks/05 section 6 tournament; influence_ml.py FULL bank</t>
        </is>
      </c>
    </row>
    <row r="12">
      <c r="A12" s="29" t="inlineStr">
        <is>
          <t>Label regime shipped</t>
        </is>
      </c>
      <c r="B12" s="29" t="inlineStr">
        <is>
          <t>'softened' (237 positives). Strict = 25 positives (not powered); prevalence = 354.</t>
        </is>
      </c>
      <c r="C12" s="29" t="inlineStr">
        <is>
          <t>The strictest definition that clears the &gt;=130-positive maturity bar. All three regimes reported side by side (thesis 7.1.2 labelling sensitivity).</t>
        </is>
      </c>
      <c r="D12" s="29" t="inlineStr">
        <is>
          <t>notebooks/05 section 4; nb05_influence.json label_regimes</t>
        </is>
      </c>
    </row>
    <row r="13">
      <c r="A13" s="29" t="inlineStr">
        <is>
          <t>SHIPPED model</t>
        </is>
      </c>
      <c r="B13" s="29" t="inlineStr">
        <is>
          <t>logit on the 17-feature FULL_BANK. AP 0.0977 +/- 0.0242 vs random floor 0.0467; AUROC 0.6681; pooled precision 0.1176 (thesis SAGE: 0.140).</t>
        </is>
      </c>
      <c r="C13" s="29" t="inlineStr">
        <is>
          <t>Adoption ladder under the paired 10-seed AP rule: random-&gt;logit +0.0464, CI [+0.0334,+0.0593], 10/10 seeds. Parsimony then stops there.</t>
        </is>
      </c>
      <c r="D13" s="29" t="inlineStr">
        <is>
          <t>notebooks/05 section 7; assert shipped == influence_ml.BEST_MODEL</t>
        </is>
      </c>
    </row>
    <row r="14">
      <c r="A14" s="29" t="inlineStr">
        <is>
          <t>Every GRAPH layer REJECTED</t>
        </is>
      </c>
      <c r="B14" s="29" t="inlineStr">
        <is>
          <t>mixhop +0.0011 CI [-0.0063,+0.0085]; sage_lite -0.0035; h2gcn -0.0078 CI [-0.0130,-0.0026] (significantly WORSE); gcn -0.0132; mlp -0.0326.</t>
        </is>
      </c>
      <c r="C14" s="29" t="inlineStr">
        <is>
          <t>ci_lo &gt; 0 or the floor ships. No graph rung's interval cleared zero; one was significantly negative.</t>
        </is>
      </c>
      <c r="D14" s="29" t="inlineStr">
        <is>
          <t>notebooks/05 section 7 adoption ladder</t>
        </is>
      </c>
    </row>
    <row r="15">
      <c r="A15" s="29" t="inlineStr">
        <is>
          <t>WHY the graph fails (measured)</t>
        </is>
      </c>
      <c r="B15" s="29" t="inlineStr">
        <is>
          <t>Positive-class node homophily 0.0948 vs negative 0.9628 (thesis: 0.08 / 0.93). DICE perturbation RAISES AP: 0.1031 -&gt; 0.1528 -&gt; 0.1671 -&gt; 0.1884 -&gt; 0.2063 at 0/10/20/30/50% corruption, while accuracy falls 0.9343 -&gt; 0.8883. Random rewiring only mildly degrades (-&gt; 0.0978).</t>
        </is>
      </c>
      <c r="C15" s="29" t="inlineStr">
        <is>
          <t>Good callers do not cluster, so message-passing averages their signal away - the diagnosis is measured, not asserted, and it replicates the thesis's direction (7.2).</t>
        </is>
      </c>
      <c r="D15" s="29" t="inlineStr">
        <is>
          <t>notebooks/05 sections 3.6, 11, 12; nb05_influence.json homophily / perturbation</t>
        </is>
      </c>
    </row>
    <row r="16">
      <c r="A16" s="29" t="inlineStr">
        <is>
          <t>Circularity priced and REFUSED</t>
        </is>
      </c>
      <c r="B16" s="29" t="inlineStr">
        <is>
          <t>mean_conf and stance_sd excluded (SCORE_ADJACENT). Including them lifts AP 0.1004 -&gt; 0.1987: mean_diff +0.0983, CI [+0.0834,+0.1132], 10/10 seeds.</t>
        </is>
      </c>
      <c r="C16" s="29" t="inlineStr">
        <is>
          <t>mean_conf is an arithmetic factor of its own target. The cost of honesty is recorded rather than quietly avoided.</t>
        </is>
      </c>
      <c r="D16" s="29" t="inlineStr">
        <is>
          <t>notebooks/05 section 5 circularity audit</t>
        </is>
      </c>
    </row>
    <row r="17">
      <c r="A17" s="29" t="inlineStr">
        <is>
          <t>Multiple-comparison discipline</t>
        </is>
      </c>
      <c r="B17" s="29" t="inlineStr">
        <is>
          <t>Bonferroni within a round: 6 pre-stated bank candidates -&gt; conf 1 - 0.05/6 = 0.99167. One re-test round only, declared before the round ran. ADOPTED: NULL.</t>
        </is>
      </c>
      <c r="C17" s="29" t="inlineStr">
        <is>
          <t>Of the six, only 'drop behavioural family' cleared zero at 95% (+0.0076, CI [+0.0023,+0.0128]); it did not survive correction.</t>
        </is>
      </c>
      <c r="D17" s="29" t="inlineStr">
        <is>
          <t>notebooks/05 section 11.1; nb05_influence.json bonferroni</t>
        </is>
      </c>
    </row>
    <row r="18">
      <c r="A18" s="29" t="inlineStr">
        <is>
          <t>Significance</t>
        </is>
      </c>
      <c r="B18" s="29" t="inlineStr">
        <is>
          <t>200-permutation label shuffle: AP 0.1257 vs null mean 0.0521, null p95 0.0705 -&gt; p = 0.005 (the reportable floor at 200 draws).</t>
        </is>
      </c>
      <c r="C18" s="29" t="inlineStr">
        <is>
          <t>Thesis-style permutation test; the floor is stated as a floor, not rounded to 0.</t>
        </is>
      </c>
      <c r="D18" s="29" t="inlineStr">
        <is>
          <t>notebooks/05 section 14</t>
        </is>
      </c>
    </row>
    <row r="19">
      <c r="A19" s="29" t="inlineStr">
        <is>
          <t>DECISIVE limitation: no generalisation</t>
        </is>
      </c>
      <c r="B19" s="29" t="inlineStr">
        <is>
          <t>On a tenure/cohort split (unseen authors) the shipped model sits AT the random floor: logit AP 0.0461 vs random 0.0483 (lift -0.046); sage_lite 0.0410 (lift -0.150).</t>
        </is>
      </c>
      <c r="C19" s="29" t="inlineStr">
        <is>
          <t>The one thing a model would be FOR - scoring a newcomer before they have a record - is exactly what it cannot do. Not a tuning gap; a stated negative result.</t>
        </is>
      </c>
      <c r="D19" s="29" t="inlineStr">
        <is>
          <t>notebooks/05 section 15 cohort split</t>
        </is>
      </c>
    </row>
    <row r="20">
      <c r="A20" s="29" t="inlineStr">
        <is>
          <t>Consequence for the product</t>
        </is>
      </c>
      <c r="B20" s="29" t="inlineStr">
        <is>
          <t>The dashboard's influence tab ranks authors by their MEASURED composite and is labelled INFORMATION ONLY; the model ships as a research exhibit, not a scorer. Nothing on the tab feeds the euphoria level or the GET IN / GET OUT alerts.</t>
        </is>
      </c>
      <c r="C20" s="29" t="inlineStr">
        <is>
          <t>Follows directly from the cohort result above. Board shows authors with &gt;=5 judged calls (a record needs a record); the map covers the wider scored pool and says so.</t>
        </is>
      </c>
      <c r="D20" s="29" t="inlineStr">
        <is>
          <t>dashboard.py influence tab; docs/ARCHITECTURE.md 8</t>
        </is>
      </c>
    </row>
  </sheetData>
  <pageMargins left="0.75" right="0.75" top="1" bottom="1" header="0.5" footer="0.5"/>
</worksheet>
</file>

<file path=xl/worksheets/sheet13.xml><?xml version="1.0" encoding="utf-8"?>
<worksheet xmlns="http://schemas.openxmlformats.org/spreadsheetml/2006/main">
  <sheetPr filterMode="0">
    <outlinePr summaryBelow="1" summaryRight="1"/>
    <pageSetUpPr fitToPage="0"/>
  </sheetPr>
  <dimension ref="A1:C1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52" customWidth="1" style="12" min="2" max="2"/>
    <col width="44" customWidth="1" style="12" min="3" max="3"/>
  </cols>
  <sheetData>
    <row r="1" ht="25.5" customHeight="1" s="13">
      <c r="A1" s="14" t="inlineStr">
        <is>
          <t>9. Legacy decisions (pre-pivot, all evidence retained)</t>
        </is>
      </c>
    </row>
    <row r="3" ht="15" customHeight="1" s="13">
      <c r="A3" s="17" t="inlineStr">
        <is>
          <t>Decision</t>
        </is>
      </c>
      <c r="B3" s="17" t="inlineStr">
        <is>
          <t>Evidence</t>
        </is>
      </c>
      <c r="C3" s="17" t="inlineStr">
        <is>
          <t>Status</t>
        </is>
      </c>
    </row>
    <row r="4" ht="68.65000000000001" customHeight="1" s="13">
      <c r="A4" s="20" t="inlineStr">
        <is>
          <t>BUY/SELL engine retired from the dashboard</t>
        </is>
      </c>
      <c r="B4" s="15" t="inlineStr">
        <is>
          <t>It is the ORIGINAL RetailFlow1 logic, unchanged (verified by diffing signal files - only anchor-less 'cannabis' differs). Scoring RetailFlow1's OWN file on real closes: BUY = -1.42%/trade over 2021-2026; per-year +6.3 / -11.1 / -3.0 / +1.7 / -1.3 / +0.4. The old report cards were window-clipped - recent windows FELT good; full history was negative.</t>
        </is>
      </c>
      <c r="C4" s="15" t="inlineStr">
        <is>
          <t>Retired from the dashboard July 2026; remains in analytics/ for research. Window-start alone (trailing-365d -&gt; Jan-2026) moved the scorecard +4.4% -&gt; +1.6% with zero model change.</t>
        </is>
      </c>
    </row>
    <row r="5" ht="57.45" customHeight="1" s="13">
      <c r="A5" s="18" t="inlineStr">
        <is>
          <t>Conviction display: EWM baseline (halflife 42d)</t>
        </is>
      </c>
      <c r="B5" s="19" t="inlineStr">
        <is>
          <t>Chosen on real prices: long its own +2.5 up-crossings, 20d hold = +1.36%/trade, 63% hit, 299 trades, +0.78% above unconditional drift, positive 5/6 years; stable across halflife 28/42/60 and holds 10/20/30 (a plateau, not a spike). Re-centres within weeks after coverage shocks.</t>
        </is>
      </c>
      <c r="C5" s="19" t="inlineStr">
        <is>
          <t>KEPT for the conviction tab. The signal ENGINE keeps its original rolling-84 construction (EWM inside the engine was worse: -1.80 vs -0.93%/trade).</t>
        </is>
      </c>
    </row>
    <row r="6" ht="35.05" customHeight="1" s="13">
      <c r="A6" s="20" t="inlineStr">
        <is>
          <t>Grey reversion-exit markers</t>
        </is>
      </c>
      <c r="B6" s="15" t="inlineStr">
        <is>
          <t>Exit on z-reversion: +0.83%/trade in ~10d vs +1.36% in 20d = 0.080 vs 0.065 %/DAY - capital works ~2x as often. On the engine's own BUYs, cuts -1.42% to -1.03%/trade.</t>
        </is>
      </c>
      <c r="C6" s="15" t="inlineStr">
        <is>
          <t>KEPT (charts + REVERTED hints). Official scorecard still accounts fixed 20d holds.</t>
        </is>
      </c>
    </row>
    <row r="7" ht="23.85" customHeight="1" s="13">
      <c r="A7" s="18" t="inlineStr">
        <is>
          <t>Shorts from conviction: rejected</t>
        </is>
      </c>
      <c r="B7" s="19" t="inlineStr">
        <is>
          <t>Every construction loses (down-cross -1.33%/trade; post-peak -0.67; shallow -0.30; at best 2/6 years positive).</t>
        </is>
      </c>
      <c r="C7" s="19" t="inlineStr">
        <is>
          <t>Retail conviction fading = EXIT timing, not short entry - which is what the grey markers implement.</t>
        </is>
      </c>
    </row>
    <row r="8" ht="35.05" customHeight="1" s="13">
      <c r="A8" s="20" t="inlineStr">
        <is>
          <t>Parameters frozen</t>
        </is>
      </c>
      <c r="B8" s="15" t="inlineStr">
        <is>
          <t>All knobs in src/config.py with evidence quoted inline; daily signal snapshots are never revised - the forward record is the only true out-of-sample test.</t>
        </is>
      </c>
      <c r="C8" s="15" t="inlineStr">
        <is>
          <t>Changes require NEW out-of-sample evidence, not re-runs of the same history.</t>
        </is>
      </c>
    </row>
    <row r="9">
      <c r="A9" s="20" t="inlineStr">
        <is>
          <t>File retired: src/inflection.py (2026-07-27)</t>
        </is>
      </c>
      <c r="B9" s="15" t="inlineStr">
        <is>
          <t>The FIRST take-off detector: smooth daily mentions, take the EWMA first derivative, and flag a day when that derivative exceeds mean + k*sigma. Rejected on principle, not on a metric - k is a free parameter with no derivation, so 'why k=2 and not 2.5?' has no answer. Its own docstring shows the flaw. Superseded by (a) analytics/euphoria.py, which ranks each name against ITS OWN history by percentile so the unit is calibrated per instrument rather than by a shared sigma multiple, and (b) analytics/euphoria_phases.py, which requires a sustained change in CONVEXITY instead of a single fast day - the fix for the 1-day XLE blip. The 'bull_inflection' FEATURE in dashboard.py is unrelated and stays.</t>
        </is>
      </c>
      <c r="C9" s="15" t="inlineStr">
        <is>
          <t>REMOVED 2026-07-27 after a three-method reference audit (import regex, repo-relative path, bare filename) found zero references in 62 py files and 104 text files. sha256 5646a24fb1ab3abe... The idea it encodes is preserved here as the negative result that motivates per-name percentile ranking; no code depended on it.</t>
        </is>
      </c>
    </row>
    <row r="10">
      <c r="A10" s="20" t="inlineStr">
        <is>
          <t>File retired: helper/tune_thresholds.py (2026-07-27)</t>
        </is>
      </c>
      <c r="B10" s="15" t="inlineStr">
        <is>
          <t>The BUY/SELL threshold tuner. Method worth keeping on the record: it grid-searched (SIG_K, SIG_MIN_SCORE, SIG_COOLDOWN), re-executed the real signal engine per combo via SIG_* env overrides so there was no reimplementation drift, scored each signal by SIGNED forward return, split the history into regime ERAS, and ranked combos by their WORST-era average - robustness first, so the winner is the combo that never falls apart rather than the one that aced a single mania. That worst-era rule is the provenance of the values still shipping in src/config.py: SIG_K=2.5, SIG_MIN_SCORE=4, SIG_MIN_SCORE_SELL=4, SIG_COOLDOWN_DAYS=21.</t>
        </is>
      </c>
      <c r="C10" s="15" t="inlineStr">
        <is>
          <t>REMOVED 2026-07-27: it executes notebooks/10_trading_signals.ipynb, which no longer exists (notebooks are now 01-07), so the script fails on its first subprocess call - dead AND broken. Zero references by any of the three scan methods. sha256 51a8d0045dff09be... The four constants it produced remain live and are consumed by analytics/signals.py; this row is now their derivation of record, so they are not arbitrary numbers. To re-tune, port the worst-era protocol onto notebook 06/07.</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52" customWidth="1" style="12" min="2" max="2"/>
    <col width="44" customWidth="1" style="12" min="3" max="3"/>
  </cols>
  <sheetData>
    <row r="1" ht="25.5" customHeight="1" s="13">
      <c r="A1" s="14" t="inlineStr">
        <is>
          <t>10. Limitations &amp; risks (the examiner's sheet)</t>
        </is>
      </c>
    </row>
    <row r="3" ht="15" customHeight="1" s="13">
      <c r="A3" s="17" t="inlineStr">
        <is>
          <t>Limitation</t>
        </is>
      </c>
      <c r="B3" s="17" t="inlineStr">
        <is>
          <t>Honest statement</t>
        </is>
      </c>
      <c r="C3" s="17" t="inlineStr">
        <is>
          <t>Mitigation / response</t>
        </is>
      </c>
    </row>
    <row r="4" ht="35.05" customHeight="1" s="13">
      <c r="A4" s="20" t="inlineStr">
        <is>
          <t>Coverage cliffs</t>
        </is>
      </c>
      <c r="B4" s="15" t="inlineStr">
        <is>
          <t>2023-25 archive coverage is thin -&gt; ZERO detectable peaks there; the detector is blind, not wrong, in those eras - and 44+34 real peaks sit outside its reach.</t>
        </is>
      </c>
      <c r="C4" s="15" t="inlineStr">
        <is>
          <t>Both denominators always reported; the comment backfill (~10x volume) is the direct fix (sheet 11).</t>
        </is>
      </c>
    </row>
    <row r="5" ht="35.05" customHeight="1" s="13">
      <c r="A5" s="18" t="inlineStr">
        <is>
          <t>Reddit-only capture cost</t>
        </is>
      </c>
      <c r="B5" s="19" t="inlineStr">
        <is>
          <t>23% of detectable vs 46% for the price-assisted variant: the chart carries real information the desk chose to give up.</t>
        </is>
      </c>
      <c r="C5" s="19" t="inlineStr">
        <is>
          <t>A deliberate, documented trade for the clean claim; the price-assisted harness remains in git history if the desk ever re-decides.</t>
        </is>
      </c>
    </row>
    <row r="6" ht="35.05" customHeight="1" s="13">
      <c r="A6" s="20" t="inlineStr">
        <is>
          <t>Small event counts</t>
        </is>
      </c>
      <c r="B6" s="15" t="inlineStr">
        <is>
          <t>17 captures / 74 detectable peaks - single events move rates by ~1.4pp; per-year splits are noisier still.</t>
        </is>
      </c>
      <c r="C6" s="15" t="inlineStr">
        <is>
          <t>No decimal-level claims; ablation read at the big-movement level only; walk-forward (never pooled) evaluation.</t>
        </is>
      </c>
    </row>
    <row r="7" ht="35.05" customHeight="1" s="13">
      <c r="A7" s="18" t="inlineStr">
        <is>
          <t>Sentiment label noise</t>
        </is>
      </c>
      <c r="B7" s="19" t="inlineStr">
        <is>
          <t>VADER+lexicon mislabels sarcasm and implicit calls; the thesis measured ~15-20% forecast-extraction error even with an LLM [1].</t>
        </is>
      </c>
      <c r="C7" s="19" t="inlineStr">
        <is>
          <t>Errors average out at 28d aggregation and author-level scoring (same argument as the thesis); LLM extraction is the named upgrade (sheet 11).</t>
        </is>
      </c>
    </row>
    <row r="8" ht="35.05" customHeight="1" s="13">
      <c r="A8" s="20" t="inlineStr">
        <is>
          <t>Threshold at grid edge</t>
        </is>
      </c>
      <c r="B8" s="15" t="inlineStr">
        <is>
          <t>Recent years pick threshold 85 = the grid maximum - the utility landscape wants conservatism, so the effective trigger is the fade discount.</t>
        </is>
      </c>
      <c r="C8" s="15" t="inlineStr">
        <is>
          <t>Documented; grid deliberately NOT extended after seeing results (that would be fitting the grid to the test).</t>
        </is>
      </c>
    </row>
    <row r="9" ht="35.05" customHeight="1" s="13">
      <c r="A9" s="18" t="inlineStr">
        <is>
          <t>2021 undertrained</t>
        </is>
      </c>
      <c r="B9" s="19" t="inlineStr">
        <is>
          <t>2021's threshold is the do-no-harm default (its training years pre-date price history).</t>
        </is>
      </c>
      <c r="C9" s="19" t="inlineStr">
        <is>
          <t>Extending prices to 2017 (one command) gives 2018-20 real peaks -&gt; 2021 gets trained; numbers auto-refresh.</t>
        </is>
      </c>
    </row>
    <row r="10" ht="23.85" customHeight="1" s="13">
      <c r="A10" s="20" t="inlineStr">
        <is>
          <t>Survivorship &amp; curation</t>
        </is>
      </c>
      <c r="B10" s="15" t="inlineStr">
        <is>
          <t>Deleted posts vanish from live fetches; authors curate their history (thesis flags the same bias [1]).</t>
        </is>
      </c>
      <c r="C10" s="15" t="inlineStr">
        <is>
          <t>Arctic Shift archives shortly after posting (partial); the ingest ledger keeps first-seen records once fetched.</t>
        </is>
      </c>
    </row>
    <row r="11" ht="35.05" customHeight="1" s="13">
      <c r="A11" s="18" t="inlineStr">
        <is>
          <t>One-subreddit thesis, many-subreddit desk</t>
        </is>
      </c>
      <c r="B11" s="19" t="inlineStr">
        <is>
          <t>The thesis validated on r/CryptoMarkets; our transfer of its constants (shrinkage strengths, tier cutoff, filters) assumes they travel.</t>
        </is>
      </c>
      <c r="C11" s="19" t="inlineStr">
        <is>
          <t>Constants documented as ported (sheet 8); they set RELATIVE rankings, not absolute claims, so miscalibration degrades gracefully.</t>
        </is>
      </c>
    </row>
    <row r="12">
      <c r="A12" s="30" t="inlineStr">
        <is>
          <t>Influence model does not generalise to new authors</t>
        </is>
      </c>
      <c r="B12" s="30" t="inlineStr">
        <is>
          <t>On a tenure/cohort split the influential-users model sits at the random floor for authors it has never seen (lift -0.046). Behaviour + graph position do NOT identify a good caller before they have a record.</t>
        </is>
      </c>
      <c r="C12" s="30" t="inlineStr">
        <is>
          <t>Stated, not buried: the dashboard therefore ranks by the MEASURED record and labels the model a research exhibit. The tab is INFORMATION ONLY and feeds no signal.</t>
        </is>
      </c>
    </row>
    <row r="13">
      <c r="A13" s="30" t="inlineStr">
        <is>
          <t>Reply graph is an active liability, not a weak feature</t>
        </is>
      </c>
      <c r="B13" s="30" t="inlineStr">
        <is>
          <t>Corrupting the graph with DICE RAISES ranking quality (AP 0.1031 -&gt; 0.2063 at 50% corruption); positive-class homophily is 0.0948 vs 0.9628 for negatives.</t>
        </is>
      </c>
      <c r="C13" s="30" t="inlineStr">
        <is>
          <t>Diagnosed rather than patched: every graph layer was rejected under the CI rule and the parsimony floor (logit) ships. The direction replicates the thesis (7.2).</t>
        </is>
      </c>
    </row>
    <row r="14">
      <c r="A14" s="30" t="inlineStr">
        <is>
          <t>Influence labels are score-derived, so circularity is a standing risk</t>
        </is>
      </c>
      <c r="B14" s="30" t="inlineStr">
        <is>
          <t>The target is a tier of the same composite whose ingredients live in the store; two features (mean_conf, stance_sd) are arithmetic factors of it and would lift AP by +0.098 if used.</t>
        </is>
      </c>
      <c r="C14" s="30" t="inlineStr">
        <is>
          <t>A named LEAKAGE blacklist plus a SCORE_ADJACENT exclusion, both asserted in tests; the audit that prices the excluded features is a permanent notebook section, so the cost is visible.</t>
        </is>
      </c>
    </row>
    <row r="15">
      <c r="A15" s="30" t="inlineStr">
        <is>
          <t>Influence store is forward-only and Reddit-only</t>
        </is>
      </c>
      <c r="B15" s="30" t="inlineStr">
        <is>
          <t>The store begins at first pull - no backfill - so author records are short (median judged-call count is small) and the board needs &gt;=5 judged calls before it will rank anyone.</t>
        </is>
      </c>
      <c r="C15" s="30" t="inlineStr">
        <is>
          <t>The bar is stated on the tab; records deepen with every comment pull, and matured calls are re-judged automatically. No decimal-level claim is made about any single author.</t>
        </is>
      </c>
    </row>
    <row r="16">
      <c r="A16" s="30" t="inlineStr">
        <is>
          <t>The 120-day V-recovery caveat is now HALF fixed - live gate only</t>
        </is>
      </c>
      <c r="B16" s="30" t="inlineStr">
        <is>
          <t>The ground truth still admits a boom off a 120-day low, so post-crash rebounds (energy 2020) still enter the episode catalog; run_days is still right-truncated at 120. Only the LIVE gate moved to 60d. The exam is unchanged; the answer sheet is stricter.</t>
        </is>
      </c>
      <c r="C16" s="30" t="inlineStr">
        <is>
          <t>Deliberate, 2026-07-29. Moving the ground-truth window would change what counts as a peak and would invalidate every capture rate in the record, including the sweep that justified the live-gate change. If it is ever revisited it needs its own study with the detector held fixed.</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2" min="1" max="1"/>
    <col width="56" customWidth="1" style="12" min="2" max="2"/>
    <col width="34" customWidth="1" style="12" min="3" max="3"/>
  </cols>
  <sheetData>
    <row r="1" ht="25.5" customHeight="1" s="13">
      <c r="A1" s="14" t="inlineStr">
        <is>
          <t>11. Next steps, ranked by expected impact</t>
        </is>
      </c>
    </row>
    <row r="3" ht="15" customHeight="1" s="13">
      <c r="A3" s="17" t="inlineStr">
        <is>
          <t>Step</t>
        </is>
      </c>
      <c r="B3" s="17" t="inlineStr">
        <is>
          <t>Why it is the biggest lever</t>
        </is>
      </c>
      <c r="C3" s="17" t="inlineStr">
        <is>
          <t>Command / owner</t>
        </is>
      </c>
    </row>
    <row r="4" ht="57.45" customHeight="1" s="13">
      <c r="A4" s="20" t="inlineStr">
        <is>
          <t>1. Comment backfill -&gt; aggregates</t>
        </is>
      </c>
      <c r="B4" s="15" t="inlineStr">
        <is>
          <t>Comments are ~10x post volume and feed EVERY euphoria ingredient; 2022-25 become detectable, capture should recover toward (and possibly past) the price-assisted 46% WITHOUT touching the Reddit-only rule. The ML challenger auto-re-runs on the richer data under the already-stated criterion.</t>
        </is>
      </c>
      <c r="C4" s="15" t="inlineStr">
        <is>
          <t>python ingestion/fetch_reddit_comments.py --backfill &lt;half-years&gt;; then fold into aggregates (external machine --full)</t>
        </is>
      </c>
    </row>
    <row r="5" ht="57.45" customHeight="1" s="13">
      <c r="A5" s="18" t="inlineStr">
        <is>
          <t>2. Prices to 2017</t>
        </is>
      </c>
      <c r="B5" s="19" t="inlineStr">
        <is>
          <t>Turns 2018-20 into real training AND test years (2018 vol shock, 2020 covid tops); 2021 stops being undertrained.</t>
        </is>
      </c>
      <c r="C5" s="19" t="inlineStr">
        <is>
          <t>PowerShell: $env:PIPELINE_START_DATE="2017-01-01"; python pull_bloomberg_prices.py; then python -m analytics.run_analytics --what euphoria</t>
        </is>
      </c>
    </row>
    <row r="6" ht="23.85" customHeight="1" s="13">
      <c r="A6" s="20" t="inlineStr">
        <is>
          <t>3. Influence store: nothing to run (live-only)</t>
        </is>
      </c>
      <c r="B6" s="15" t="inlineStr">
        <is>
          <t>Desk decision, July 2026: the store builds itself from live pulls - created from nothing on the first update_data.py run, extended on every later one, with recent calls re-judged automatically as their 20d windows mature. The two dashboards share it via git.</t>
        </is>
      </c>
      <c r="C6" s="15" t="inlineStr">
        <is>
          <t>automatic (python update_data.py)</t>
        </is>
      </c>
    </row>
    <row r="7" ht="23.85" customHeight="1" s="13">
      <c r="A7" s="18" t="inlineStr">
        <is>
          <t>4. Forward out-of-sample record</t>
        </is>
      </c>
      <c r="B7" s="19" t="inlineStr">
        <is>
          <t>The frozen rules + daily snapshots mean every week from now is TRUE out-of-sample - the only evidence that survives an examiner.</t>
        </is>
      </c>
      <c r="C7" s="19" t="inlineStr">
        <is>
          <t>Automatic; review monthly</t>
        </is>
      </c>
    </row>
    <row r="8" ht="35.05" customHeight="1" s="13">
      <c r="A8" s="20" t="inlineStr">
        <is>
          <t>5. LLM call extraction (thesis upgrade)</t>
        </is>
      </c>
      <c r="B8" s="15" t="inlineStr">
        <is>
          <t>Replace VADER stance with structured forecast extraction (direction/asset/horizon/confidence) - the thesis's biggest quality step (macro-F1 0.78, kappa 0.76) [1].</t>
        </is>
      </c>
      <c r="C8" s="15" t="inlineStr">
        <is>
          <t>Future work - needs a funded API budget</t>
        </is>
      </c>
    </row>
    <row r="9" ht="35.05" customHeight="1" s="13">
      <c r="A9" s="18" t="inlineStr">
        <is>
          <t>6. Graph features INTO euphoria</t>
        </is>
      </c>
      <c r="B9" s="19" t="inlineStr">
        <is>
          <t>New-author influx and reply-graph growth as euphoria features (crowd composition, not just size) - the thesis's structural signals applied to the timing problem.</t>
        </is>
      </c>
      <c r="C9" s="19" t="inlineStr">
        <is>
          <t>Future work - needs comments folded into the aggregate contract first</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D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 min="1" max="1"/>
    <col width="56" customWidth="1" style="12" min="2" max="2"/>
    <col width="30" customWidth="1" style="12" min="3" max="3"/>
    <col width="44" customWidth="1" style="12" min="4" max="4"/>
  </cols>
  <sheetData>
    <row r="1" ht="25.5" customHeight="1" s="13">
      <c r="A1" s="14" t="inlineStr">
        <is>
          <t>12. References - every paper used, and where it entered the design</t>
        </is>
      </c>
    </row>
    <row r="3" ht="15" customHeight="1" s="13">
      <c r="A3" s="17" t="inlineStr">
        <is>
          <t>[n]</t>
        </is>
      </c>
      <c r="B3" s="17" t="inlineStr">
        <is>
          <t>Reference</t>
        </is>
      </c>
      <c r="C3" s="17" t="inlineStr">
        <is>
          <t>Where used</t>
        </is>
      </c>
      <c r="D3" s="17" t="inlineStr">
        <is>
          <t>Link</t>
        </is>
      </c>
    </row>
    <row r="4" ht="91" customHeight="1" s="13">
      <c r="A4" s="20" t="inlineStr">
        <is>
          <t>[1]</t>
        </is>
      </c>
      <c r="B4" s="15" t="inlineStr">
        <is>
          <t>Chan, J. J. J. (2026). Informed Trading Decisions via Social Network Analysis: A Graph Learning Approach. M.Eng thesis, University of Oxford (supervisor: Xiaowen Dong).</t>
        </is>
      </c>
      <c r="C4" s="15" t="inlineStr">
        <is>
          <t>Influence Tracker method (sheets 8): usefulness scoring, vol-scaled judging, shrinkage constants, graph construction + bot filters, PageRank&gt;degree finding, loud-but-wrong profile; ablation methodology (sheet 6); ML-appetite warning (sheet 7).</t>
        </is>
      </c>
      <c r="D4" s="15" t="inlineStr">
        <is>
          <t>provided by the desk (PDF)</t>
        </is>
      </c>
    </row>
    <row r="5" ht="35.05" customHeight="1" s="13">
      <c r="A5" s="18" t="inlineStr">
        <is>
          <t>[2]</t>
        </is>
      </c>
      <c r="B5" s="19" t="inlineStr">
        <is>
          <t>Barber, B., Huang, X., Odean, T. &amp; Schwarz, C. (2022). Attention-Induced Trading and Returns: Evidence from Robinhood Users. Journal of Financial Economics.</t>
        </is>
      </c>
      <c r="C5" s="19" t="inlineStr">
        <is>
          <t>E1 attention extremity; gate A2 - attention extremes precede reversals.</t>
        </is>
      </c>
      <c r="D5" s="19" t="inlineStr">
        <is>
          <t>https://www.sciencedirect.com/science/article/pii/S0304405X22000964</t>
        </is>
      </c>
    </row>
    <row r="6" ht="35.05" customHeight="1" s="13">
      <c r="A6" s="20" t="inlineStr">
        <is>
          <t>[3]</t>
        </is>
      </c>
      <c r="B6" s="15" t="inlineStr">
        <is>
          <t>Sornette, D. et al. LPPLS bubble indicators over two centuries of the S&amp;P 500 index.</t>
        </is>
      </c>
      <c r="C6" s="15" t="inlineStr">
        <is>
          <t>E5 - the super-exponential (LPPLS) bubble signature.</t>
        </is>
      </c>
      <c r="D6" s="15" t="inlineStr">
        <is>
          <t>https://www.researchgate.net/publication/303204113_LPPLS_bubble_indicators_over_two_centuries_of_the_SP_500_index</t>
        </is>
      </c>
    </row>
    <row r="7" ht="46.25" customHeight="1" s="13">
      <c r="A7" s="18" t="inlineStr">
        <is>
          <t>[4]</t>
        </is>
      </c>
      <c r="B7" s="19" t="inlineStr">
        <is>
          <t>Demirer, R. et al. On the Predictability of Stock Market Bubbles: Evidence from LPPLS Confidence Multi-scale Indicators.</t>
        </is>
      </c>
      <c r="C7" s="19" t="inlineStr">
        <is>
          <t>E5 - LPPLS confidence indicators predict bubble ends out-of-sample.</t>
        </is>
      </c>
      <c r="D7" s="19" t="inlineStr">
        <is>
          <t>https://www.researchgate.net/publication/318280992_On_the_Predictability_of_Stock_Market_Bubbles_Evidence_from_LPPLS_Confidence_TM_Multi-scale_Indicators</t>
        </is>
      </c>
    </row>
    <row r="8" ht="35.05" customHeight="1" s="13">
      <c r="A8" s="20" t="inlineStr">
        <is>
          <t>[5]</t>
        </is>
      </c>
      <c r="B8" s="15" t="inlineStr">
        <is>
          <t>CEPR/VoxEU. Twitter sentiment and stock market movements: the predictive power of social media.</t>
        </is>
      </c>
      <c r="C8" s="15" t="inlineStr">
        <is>
          <t>E2/E4 - aggregate sentiment extremes as contrarian markers.</t>
        </is>
      </c>
      <c r="D8" s="15" t="inlineStr">
        <is>
          <t>https://cepr.org/voxeu/columns/twitter-sentiment-and-stock-market-movements-predictive-power-social-media</t>
        </is>
      </c>
    </row>
    <row r="9" ht="35.05" customHeight="1" s="13">
      <c r="A9" s="18" t="inlineStr">
        <is>
          <t>[6]</t>
        </is>
      </c>
      <c r="B9" s="19" t="inlineStr">
        <is>
          <t>Jame, R. et al. (2022). Echo Chambers &amp; WallStreetBets retail herding (working paper).</t>
        </is>
      </c>
      <c r="C9" s="19" t="inlineStr">
        <is>
          <t>A1 hype prerequisite + cooldown - discussion-board attention concentration and its aftermath.</t>
        </is>
      </c>
      <c r="D9" s="19" t="inlineStr">
        <is>
          <t>https://russelljame.com/wsb_3_15_2022.pdf</t>
        </is>
      </c>
    </row>
    <row r="10" ht="23.85" customHeight="1" s="13">
      <c r="A10" s="20" t="inlineStr">
        <is>
          <t>[7]</t>
        </is>
      </c>
      <c r="B10" s="15" t="inlineStr">
        <is>
          <t>arXiv:2110.06190. LPPLS bubble diagnostics applied to meme stocks (GameStop episode).</t>
        </is>
      </c>
      <c r="C10" s="15" t="inlineStr">
        <is>
          <t>E5 - the signature holds on retail-driven single names.</t>
        </is>
      </c>
      <c r="D10" s="15" t="inlineStr">
        <is>
          <t>https://ideas.repec.org/p/arx/papers/2110.06190.html</t>
        </is>
      </c>
    </row>
    <row r="11" ht="23.85" customHeight="1" s="13">
      <c r="A11" s="18" t="inlineStr">
        <is>
          <t>[8]</t>
        </is>
      </c>
      <c r="B11" s="19" t="inlineStr">
        <is>
          <t>Sornette, D. Financial Crisis Observatory / LPPLS resources.</t>
        </is>
      </c>
      <c r="C11" s="19" t="inlineStr">
        <is>
          <t>E5 background - the crash-prediction framework.</t>
        </is>
      </c>
      <c r="D11" s="19" t="inlineStr">
        <is>
          <t>https://sornette.finance/landing/</t>
        </is>
      </c>
    </row>
    <row r="12" ht="35.05" customHeight="1" s="13">
      <c r="A12" s="20" t="inlineStr">
        <is>
          <t>[9]</t>
        </is>
      </c>
      <c r="B12" s="15" t="inlineStr">
        <is>
          <t>Dumb money: social network attention herding and retail investor returns (2025). Journal of Behavioral and Experimental Finance.</t>
        </is>
      </c>
      <c r="C12" s="15" t="inlineStr">
        <is>
          <t>E1/E3 - attention herding measured on social networks predicts poor forward returns.</t>
        </is>
      </c>
      <c r="D12" s="15" t="inlineStr">
        <is>
          <t>https://www.sciencedirect.com/science/article/pii/S2405918825000212</t>
        </is>
      </c>
    </row>
    <row r="13" ht="23.85" customHeight="1" s="13">
      <c r="A13" s="18" t="inlineStr">
        <is>
          <t>[10]</t>
        </is>
      </c>
      <c r="B13" s="19" t="inlineStr">
        <is>
          <t>Reddit sentiment and equity moves - Humanities &amp; Social Sciences Communications (2024).</t>
        </is>
      </c>
      <c r="C13" s="19" t="inlineStr">
        <is>
          <t>E2 - Reddit-aggregated sentiment vs subsequent price behaviour.</t>
        </is>
      </c>
      <c r="D13" s="19" t="inlineStr">
        <is>
          <t>https://www.nature.com/articles/s41599-024-03434-2</t>
        </is>
      </c>
    </row>
    <row r="14" ht="23.85" customHeight="1" s="13">
      <c r="A14" s="20" t="inlineStr">
        <is>
          <t>[11]</t>
        </is>
      </c>
      <c r="B14" s="15" t="inlineStr">
        <is>
          <t>Social-media sentiment aggregation and market timing - Journal of Behavioral Finance (2024).</t>
        </is>
      </c>
      <c r="C14" s="15" t="inlineStr">
        <is>
          <t>E2/E4 - aggregation windows and divergence patterns.</t>
        </is>
      </c>
      <c r="D14" s="15" t="inlineStr">
        <is>
          <t>https://www.tandfonline.com/doi/full/10.1080/15427560.2024.2309145</t>
        </is>
      </c>
    </row>
    <row r="15" ht="23.85" customHeight="1" s="13">
      <c r="A15" s="18" t="inlineStr">
        <is>
          <t>[12]</t>
        </is>
      </c>
      <c r="B15" s="19" t="inlineStr">
        <is>
          <t>Bollen, J. et al. Twitter mood predicts the stock market (PLOS ONE lineage study).</t>
        </is>
      </c>
      <c r="C15" s="19" t="inlineStr">
        <is>
          <t>Background - the original social-sentiment-predicts-markets result.</t>
        </is>
      </c>
      <c r="D15" s="19" t="inlineStr">
        <is>
          <t>https://journals.plos.org/plosone/article?id=10.1371/journal.pone.0165819</t>
        </is>
      </c>
    </row>
    <row r="17" ht="23.85" customHeight="1" s="13">
      <c r="A17" s="32" t="inlineStr">
        <is>
          <t>[15]</t>
        </is>
      </c>
      <c r="B17" s="33" t="inlineStr">
        <is>
          <t>Hanley, J.A. &amp; McNeil, B.J. (1982). The Meaning and Use of the Area under a Receiver Operating Characteristic (ROC) Curve. Radiology 143(1).</t>
        </is>
      </c>
    </row>
    <row r="18">
      <c r="A18" s="32" t="inlineStr">
        <is>
          <t>[16]</t>
        </is>
      </c>
      <c r="B18" s="33" t="inlineStr">
        <is>
          <t>van Rijsbergen, C.J. (1979). Information Retrieval, 2nd ed. Butterworths.</t>
        </is>
      </c>
      <c r="C18" s="33" t="inlineStr">
        <is>
          <t>PRIMARY source for the F-measure, reported at the operating point in the performance battery (notebook 07, report sec 6.9). Registered 2026-07-27, migrated from PROJECT_SUMMARY before its deletion.</t>
        </is>
      </c>
      <c r="D18" s="33" t="inlineStr">
        <is>
          <t>standard reference</t>
        </is>
      </c>
    </row>
    <row r="19">
      <c r="A19" s="32" t="inlineStr">
        <is>
          <t>[17]</t>
        </is>
      </c>
      <c r="B19" s="33" t="inlineStr">
        <is>
          <t>Matthews, B.W. (1975). Comparison of the predicted and observed secondary structure of T4 phage lysozyme. Biochimica et Biophysica Acta 405(2).</t>
        </is>
      </c>
      <c r="C19" s="33" t="inlineStr">
        <is>
          <t>PRIMARY source for MCC, read alongside Chicco &amp; Jurman 2020 which is the reason MCC is preferred to F1 under our ~6% prevalence (notebook 07, report sec 6.9). Registered 2026-07-27, migrated from PROJECT_SUMMARY before its deletion.</t>
        </is>
      </c>
      <c r="D19" s="33" t="inlineStr">
        <is>
          <t>standard reference</t>
        </is>
      </c>
    </row>
    <row r="20">
      <c r="A20" s="32" t="inlineStr">
        <is>
          <t>[18]</t>
        </is>
      </c>
      <c r="B20" s="33" t="inlineStr">
        <is>
          <t>Efron, B. &amp; Tibshirani, R. (1993). An Introduction to the Bootstrap. Chapman &amp; Hall.</t>
        </is>
      </c>
      <c r="C20" s="33" t="inlineStr">
        <is>
          <t>The cluster (block) bootstrap behind EVERY confidence interval in section 6, including the paired difference bootstrap that derived the gauge's amber edge. 300 replications (200 where a band is drawn per event-window offset) - see PARAMETER_REGISTER Class 3 for why the replication count is not a lever but the 59-instrument CLUSTER count is.</t>
        </is>
      </c>
      <c r="D20" s="33" t="inlineStr">
        <is>
          <t>standard reference</t>
        </is>
      </c>
    </row>
    <row r="21">
      <c r="A21" s="22" t="n"/>
      <c r="B21" s="22" t="inlineStr">
        <is>
          <t>Citation style note: [3][4][7][8] retrieved via desk web research July 2026; exact author lists per the linked landing pages. The thesis [1] is unpublished - cite as 'Chan (2026), University of Oxford M.Eng thesis' in the final deck.</t>
        </is>
      </c>
      <c r="C21" s="25" t="n"/>
      <c r="D21" s="26" t="n"/>
    </row>
  </sheetData>
  <mergeCells count="2">
    <mergeCell ref="B17:D17"/>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2026-07-23T07:16:55Z</dcterms:created>
  <dcterms:modified xmlns:dcterms="http://purl.org/dc/terms/" xmlns:xsi="http://www.w3.org/2001/XMLSchema-instance" xsi:type="dcterms:W3CDTF">2026-07-29T08:08:26Z</dcterms:modified>
  <cp:revision>0</cp:revision>
</cp:coreProperties>
</file>