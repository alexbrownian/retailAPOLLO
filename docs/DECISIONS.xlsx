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0. Storyline" sheetId="1" state="visible" r:id="rId1"/>
    <sheet xmlns:r="http://schemas.openxmlformats.org/officeDocument/2006/relationships" name="1. Motivation &amp; Aim" sheetId="2" state="visible" r:id="rId2"/>
    <sheet xmlns:r="http://schemas.openxmlformats.org/officeDocument/2006/relationships" name="2. Literature" sheetId="3" state="visible" r:id="rId3"/>
    <sheet xmlns:r="http://schemas.openxmlformats.org/officeDocument/2006/relationships" name="3. Data &amp; Architecture" sheetId="4" state="visible" r:id="rId4"/>
    <sheet xmlns:r="http://schemas.openxmlformats.org/officeDocument/2006/relationships" name="4. Detector Design" sheetId="5" state="visible" r:id="rId5"/>
    <sheet xmlns:r="http://schemas.openxmlformats.org/officeDocument/2006/relationships" name="5. Validation" sheetId="6" state="visible" r:id="rId6"/>
    <sheet xmlns:r="http://schemas.openxmlformats.org/officeDocument/2006/relationships" name="6. Ablation" sheetId="7" state="visible" r:id="rId7"/>
    <sheet xmlns:r="http://schemas.openxmlformats.org/officeDocument/2006/relationships" name="7. ML Challenger" sheetId="8" state="visible" r:id="rId8"/>
    <sheet xmlns:r="http://schemas.openxmlformats.org/officeDocument/2006/relationships" name="7b. Phases Study (Onset)" sheetId="9" state="visible" r:id="rId9"/>
    <sheet xmlns:r="http://schemas.openxmlformats.org/officeDocument/2006/relationships" name="8. Influence Tracker" sheetId="10" state="visible" r:id="rId10"/>
    <sheet xmlns:r="http://schemas.openxmlformats.org/officeDocument/2006/relationships" name="8b. Influence ML Model" sheetId="11" state="visible" r:id="rId11"/>
    <sheet xmlns:r="http://schemas.openxmlformats.org/officeDocument/2006/relationships" name="9. Legacy Decisions" sheetId="12" state="visible" r:id="rId12"/>
    <sheet xmlns:r="http://schemas.openxmlformats.org/officeDocument/2006/relationships" name="10. Limitations" sheetId="13" state="visible" r:id="rId13"/>
    <sheet xmlns:r="http://schemas.openxmlformats.org/officeDocument/2006/relationships" name="11. Next Steps" sheetId="14" state="visible" r:id="rId14"/>
    <sheet xmlns:r="http://schemas.openxmlformats.org/officeDocument/2006/relationships" name="12. References" sheetId="15" state="visible" r:id="rId15"/>
  </sheets>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4"/>
    </font>
    <font>
      <name val="Arial"/>
      <charset val="1"/>
      <family val="0"/>
      <sz val="10"/>
    </font>
    <font>
      <name val="Arial"/>
      <charset val="1"/>
      <family val="0"/>
      <i val="1"/>
      <color rgb="FF555555"/>
      <sz val="9"/>
    </font>
    <font>
      <name val="Arial"/>
      <charset val="1"/>
      <family val="0"/>
      <b val="1"/>
      <color rgb="FFFFFFFF"/>
      <sz val="11"/>
    </font>
    <font>
      <name val="Arial"/>
      <charset val="1"/>
      <family val="0"/>
      <b val="1"/>
      <sz val="10"/>
    </font>
    <font>
      <name val="Arial"/>
      <b val="1"/>
      <color rgb="001F3864"/>
      <sz val="14"/>
    </font>
    <font>
      <name val="Arial"/>
      <b val="1"/>
      <sz val="11"/>
    </font>
    <font>
      <name val="Arial"/>
      <sz val="11"/>
    </font>
    <font>
      <name val="Arial"/>
      <sz val="10"/>
    </font>
  </fonts>
  <fills count="7">
    <fill>
      <patternFill/>
    </fill>
    <fill>
      <patternFill patternType="gray125"/>
    </fill>
    <fill>
      <patternFill patternType="solid">
        <fgColor rgb="FF1F3864"/>
        <bgColor rgb="FF333333"/>
      </patternFill>
    </fill>
    <fill>
      <patternFill patternType="solid">
        <fgColor rgb="FFF2F2F2"/>
        <bgColor rgb="FFFFFFFF"/>
      </patternFill>
    </fill>
    <fill>
      <patternFill patternType="solid">
        <fgColor rgb="FFFFF2CC"/>
        <bgColor rgb="FFF2F2F2"/>
      </patternFill>
    </fill>
    <fill>
      <patternFill patternType="solid">
        <fgColor rgb="FFD9E2F1"/>
        <bgColor rgb="FFF2F2F2"/>
      </patternFill>
    </fill>
    <fill>
      <patternFill patternType="solid">
        <fgColor rgb="00D9E2F3"/>
      </patternFill>
    </fill>
  </fills>
  <borders count="6">
    <border>
      <left/>
      <right/>
      <top/>
      <bottom/>
      <diagonal/>
    </border>
    <border>
      <left style="thin">
        <color rgb="FFBBBBBB"/>
      </left>
      <right style="thin">
        <color rgb="FFBBBBBB"/>
      </right>
      <top style="thin">
        <color rgb="FFBBBBBB"/>
      </top>
      <bottom style="thin">
        <color rgb="FFBBBBBB"/>
      </bottom>
      <diagonal/>
    </border>
    <border>
      <left/>
      <right/>
      <top style="thin">
        <color rgb="FFBBBBBB"/>
      </top>
      <bottom/>
      <diagonal/>
    </border>
    <border>
      <left/>
      <right style="thin">
        <color rgb="FFBBBBBB"/>
      </right>
      <top style="thin">
        <color rgb="FFBBBBBB"/>
      </top>
      <bottom/>
      <diagonal/>
    </border>
    <border>
      <left/>
      <right/>
      <top style="thin">
        <color rgb="FFBBBBBB"/>
      </top>
      <bottom style="thin">
        <color rgb="FFBBBBBB"/>
      </bottom>
      <diagonal/>
    </border>
    <border>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4" fillId="2" borderId="0" applyAlignment="1" pivotButton="0" quotePrefix="0" xfId="0">
      <alignment horizontal="general" vertical="center"/>
    </xf>
    <xf numFmtId="0" fontId="5" fillId="0" borderId="1" applyAlignment="1" pivotButton="0" quotePrefix="0" xfId="0">
      <alignment horizontal="general" vertical="top" wrapText="1"/>
    </xf>
    <xf numFmtId="0" fontId="6" fillId="0" borderId="1" applyAlignment="1" pivotButton="0" quotePrefix="0" xfId="0">
      <alignment horizontal="general" vertical="top" wrapText="1"/>
    </xf>
    <xf numFmtId="0" fontId="7" fillId="2" borderId="1" applyAlignment="1" pivotButton="0" quotePrefix="0" xfId="0">
      <alignment horizontal="general" vertical="top" wrapText="1"/>
    </xf>
    <xf numFmtId="0" fontId="8" fillId="3" borderId="1" applyAlignment="1" pivotButton="0" quotePrefix="0" xfId="0">
      <alignment horizontal="general" vertical="top" wrapText="1"/>
    </xf>
    <xf numFmtId="0" fontId="5" fillId="3" borderId="1" applyAlignment="1" pivotButton="0" quotePrefix="0" xfId="0">
      <alignment horizontal="general" vertical="top" wrapText="1"/>
    </xf>
    <xf numFmtId="0" fontId="8" fillId="0" borderId="1" applyAlignment="1" pivotButton="0" quotePrefix="0" xfId="0">
      <alignment horizontal="general" vertical="top" wrapText="1"/>
    </xf>
    <xf numFmtId="0" fontId="8" fillId="4" borderId="1" applyAlignment="1" pivotButton="0" quotePrefix="0" xfId="0">
      <alignment horizontal="general" vertical="top" wrapText="1"/>
    </xf>
    <xf numFmtId="0" fontId="5" fillId="4" borderId="1" applyAlignment="1" pivotButton="0" quotePrefix="0" xfId="0">
      <alignment horizontal="general" vertical="top" wrapText="1"/>
    </xf>
    <xf numFmtId="0" fontId="8" fillId="5" borderId="1" applyAlignment="1" pivotButton="0" quotePrefix="0" xfId="0">
      <alignment horizontal="general" vertical="top" wrapText="1"/>
    </xf>
    <xf numFmtId="0" fontId="5" fillId="5"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center"/>
    </xf>
    <xf numFmtId="0" fontId="5" fillId="0" borderId="1" applyAlignment="1" pivotButton="0" quotePrefix="0" xfId="0">
      <alignment horizontal="general" vertical="top" wrapText="1"/>
    </xf>
    <xf numFmtId="0" fontId="6" fillId="0" borderId="1" applyAlignment="1" pivotButton="0" quotePrefix="0" xfId="0">
      <alignment horizontal="general" vertical="top" wrapText="1"/>
    </xf>
    <xf numFmtId="0" fontId="7" fillId="2" borderId="1" applyAlignment="1" pivotButton="0" quotePrefix="0" xfId="0">
      <alignment horizontal="general" vertical="top" wrapText="1"/>
    </xf>
    <xf numFmtId="0" fontId="8" fillId="3" borderId="1" applyAlignment="1" pivotButton="0" quotePrefix="0" xfId="0">
      <alignment horizontal="general" vertical="top" wrapText="1"/>
    </xf>
    <xf numFmtId="0" fontId="5" fillId="3" borderId="1" applyAlignment="1" pivotButton="0" quotePrefix="0" xfId="0">
      <alignment horizontal="general" vertical="top" wrapText="1"/>
    </xf>
    <xf numFmtId="0" fontId="8" fillId="0" borderId="1" applyAlignment="1" pivotButton="0" quotePrefix="0" xfId="0">
      <alignment horizontal="general" vertical="top" wrapText="1"/>
    </xf>
    <xf numFmtId="0" fontId="8" fillId="4" borderId="1" applyAlignment="1" pivotButton="0" quotePrefix="0" xfId="0">
      <alignment horizontal="general" vertical="top" wrapText="1"/>
    </xf>
    <xf numFmtId="0" fontId="5" fillId="4" borderId="1" applyAlignment="1" pivotButton="0" quotePrefix="0" xfId="0">
      <alignment horizontal="general" vertical="top" wrapText="1"/>
    </xf>
    <xf numFmtId="0" fontId="8" fillId="5" borderId="1" applyAlignment="1" pivotButton="0" quotePrefix="0" xfId="0">
      <alignment horizontal="general" vertical="top" wrapText="1"/>
    </xf>
    <xf numFmtId="0" fontId="5" fillId="5" borderId="1" applyAlignment="1" pivotButton="0" quotePrefix="0" xfId="0">
      <alignment horizontal="general" vertical="top" wrapText="1"/>
    </xf>
    <xf numFmtId="0" fontId="0" fillId="0" borderId="4" pivotButton="0" quotePrefix="0" xfId="0"/>
    <xf numFmtId="0" fontId="0" fillId="0" borderId="5" pivotButton="0" quotePrefix="0" xfId="0"/>
    <xf numFmtId="0" fontId="9" fillId="0" borderId="0" pivotButton="0" quotePrefix="0" xfId="0"/>
    <xf numFmtId="0" fontId="10" fillId="6" borderId="0" applyAlignment="1" pivotButton="0" quotePrefix="0" xfId="0">
      <alignment vertical="top" wrapText="1"/>
    </xf>
    <xf numFmtId="0" fontId="11" fillId="0" borderId="0" applyAlignment="1" pivotButton="0" quotePrefix="0" xfId="0">
      <alignment vertical="top" wrapText="1"/>
    </xf>
    <xf numFmtId="0" fontId="12" fillId="0" borderId="0" applyAlignment="1" pivotButton="0" quotePrefix="0" xfId="0">
      <alignment vertical="top" wrapText="1"/>
    </xf>
    <xf numFmtId="0" fontId="4" fillId="0" borderId="0" applyAlignment="1" pivotButton="0" quotePrefix="0" xfId="0">
      <alignment horizontal="general"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F2F2F2"/>
      <rgbColor rgb="FF660066"/>
      <rgbColor rgb="FFFF8080"/>
      <rgbColor rgb="FF0066CC"/>
      <rgbColor rgb="FFD9E2F1"/>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18"/>
  <sheetViews>
    <sheetView showFormulas="0" showGridLines="0" showRowColHeaders="1" showZeros="1" rightToLeft="0" tabSelected="1"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2" min="1" max="1"/>
    <col width="44" customWidth="1" style="12" min="2" max="2"/>
    <col width="78" customWidth="1" style="12" min="3" max="3"/>
  </cols>
  <sheetData>
    <row r="1" ht="25.5" customHeight="1" s="13">
      <c r="A1" s="14" t="inlineStr">
        <is>
          <t>RetailRadar / retailAPOLLO - Decisions &amp; Evidence (defense-ordered)</t>
        </is>
      </c>
    </row>
    <row r="3" ht="15" customHeight="1" s="13">
      <c r="A3" s="15" t="n"/>
      <c r="B3" s="16" t="inlineStr">
        <is>
          <t>Alex Brown - GIP 2026 Project - MAARS Global Macro</t>
        </is>
      </c>
      <c r="C3" s="15" t="n"/>
    </row>
    <row r="4" ht="57.45" customHeight="1" s="13">
      <c r="A4" s="15" t="n"/>
      <c r="B4" s="15" t="inlineStr">
        <is>
          <t>Every sheet = one act of the defense, in presentation order. Every claim carries its number and its source; every fitted quantity is named; everything else is fixed a priori. References are cited as [n] -&gt; sheet '12. References'.</t>
        </is>
      </c>
      <c r="C4" s="15" t="n"/>
    </row>
    <row r="6" ht="15" customHeight="1" s="13">
      <c r="A6" s="17" t="inlineStr">
        <is>
          <t>Sheet</t>
        </is>
      </c>
      <c r="B6" s="17" t="inlineStr">
        <is>
          <t>The question it answers</t>
        </is>
      </c>
      <c r="C6" s="17" t="inlineStr">
        <is>
          <t>One-line takeaway</t>
        </is>
      </c>
    </row>
    <row r="7" ht="23.85" customHeight="1" s="13">
      <c r="A7" s="18" t="inlineStr">
        <is>
          <t>1. Motivation &amp; Aim</t>
        </is>
      </c>
      <c r="B7" s="19" t="inlineStr">
        <is>
          <t>What problem, and what exactly counts as success?</t>
        </is>
      </c>
      <c r="C7" s="19" t="inlineStr">
        <is>
          <t>Detect retail EUPHORIA from Reddit-derived data alone and call price TOPS: an alert inside [peak-30d, peak+1d]; peaks are price-defined so the test is objective.</t>
        </is>
      </c>
    </row>
    <row r="8" ht="35.05" customHeight="1" s="13">
      <c r="A8" s="20" t="inlineStr">
        <is>
          <t>2. Literature</t>
        </is>
      </c>
      <c r="B8" s="15" t="inlineStr">
        <is>
          <t>Why believe crowd data can call tops at all?</t>
        </is>
      </c>
      <c r="C8" s="15" t="inlineStr">
        <is>
          <t>Attention extremes precede reversals [2][6][9]; one-sided sentiment at extremes is contrarian [5][10]; bubbles carry a super-exponential signature [3][4][7][8]; predictive skill concentrates in identifiable users [1].</t>
        </is>
      </c>
    </row>
    <row r="9" ht="23.85" customHeight="1" s="13">
      <c r="A9" s="18" t="inlineStr">
        <is>
          <t>3. Data &amp; Architecture</t>
        </is>
      </c>
      <c r="B9" s="19" t="inlineStr">
        <is>
          <t>What data, and what guarantees?</t>
        </is>
      </c>
      <c r="C9" s="19" t="inlineStr">
        <is>
          <t>3 sources, text-free committed aggregates, two-machine contract; price data exists ONLY to test, never to predict.</t>
        </is>
      </c>
    </row>
    <row r="10" ht="23.85" customHeight="1" s="13">
      <c r="A10" s="20" t="inlineStr">
        <is>
          <t>4. Detector Design</t>
        </is>
      </c>
      <c r="B10" s="15" t="inlineStr">
        <is>
          <t>What are the rules, precisely?</t>
        </is>
      </c>
      <c r="C10" s="15" t="inlineStr">
        <is>
          <t>4 percentile features + fade trigger + 4 gates; ONE fitted number (the threshold), learned walk-forward; everything else fixed a priori.</t>
        </is>
      </c>
    </row>
    <row r="11" ht="23.85" customHeight="1" s="13">
      <c r="A11" s="18" t="inlineStr">
        <is>
          <t>5. Validation</t>
        </is>
      </c>
      <c r="B11" s="19" t="inlineStr">
        <is>
          <t>Does it work out-of-sample?</t>
        </is>
      </c>
      <c r="C11" s="19" t="inlineStr">
        <is>
          <t>23% of coverage-detectable tops flagged, median 4d before the peak, 0.11 FAs/instrument-year - and the honest cost of the Reddit-only rule is quantified (price-assisted variant: 46%).</t>
        </is>
      </c>
    </row>
    <row r="12" ht="23.85" customHeight="1" s="13">
      <c r="A12" s="20" t="inlineStr">
        <is>
          <t>6. Ablation</t>
        </is>
      </c>
      <c r="B12" s="15" t="inlineStr">
        <is>
          <t>Does every rule earn its place?</t>
        </is>
      </c>
      <c r="C12" s="15" t="inlineStr">
        <is>
          <t>Thesis-style knock-out study [1]: the hype gate is the precision lever (+83 FAs without it), the fade trigger is the capture lever (-0.095 without it).</t>
        </is>
      </c>
    </row>
    <row r="13" ht="23.85" customHeight="1" s="13">
      <c r="A13" s="18" t="inlineStr">
        <is>
          <t>7. ML Challenger</t>
        </is>
      </c>
      <c r="B13" s="19" t="inlineStr">
        <is>
          <t>Would a learned model beat the hand-rules?</t>
        </is>
      </c>
      <c r="C13" s="19" t="inlineStr">
        <is>
          <t>Walk-forward logistic regression on the same features: rejected under a pre-stated criterion; its coefficients rank the same features top - the rules are not arbitrary.</t>
        </is>
      </c>
    </row>
    <row r="14" ht="23.85" customHeight="1" s="13">
      <c r="A14" s="20" t="inlineStr">
        <is>
          <t>8. Influence Tracker</t>
        </is>
      </c>
      <c r="B14" s="15" t="inlineStr">
        <is>
          <t>WHO in the crowd is worth listening to?</t>
        </is>
      </c>
      <c r="C14" s="15" t="inlineStr">
        <is>
          <t>Thesis method end-to-end [1]: volatility-scaled call judging, shrunk usefulness composite, reply-graph PageRank, loud-but-wrong flag.</t>
        </is>
      </c>
    </row>
    <row r="15" ht="23.85" customHeight="1" s="13">
      <c r="A15" s="18" t="inlineStr">
        <is>
          <t>9. Legacy Decisions</t>
        </is>
      </c>
      <c r="B15" s="19" t="inlineStr">
        <is>
          <t>What happened to the old BUY/SELL machinery?</t>
        </is>
      </c>
      <c r="C15" s="19" t="inlineStr">
        <is>
          <t>Retired from the dashboard with evidence (full-history BUY = -1.42%/trade); conviction EWM engine + reversion exits validated and kept for research.</t>
        </is>
      </c>
    </row>
    <row r="16" ht="23.85" customHeight="1" s="13">
      <c r="A16" s="20" t="inlineStr">
        <is>
          <t>10. Limitations</t>
        </is>
      </c>
      <c r="B16" s="15" t="inlineStr">
        <is>
          <t>What would a sharp examiner attack?</t>
        </is>
      </c>
      <c r="C16" s="15" t="inlineStr">
        <is>
          <t>Coverage cliffs, small event counts, VADER label noise, one-subreddit-era gaps - each named, each with its mitigation.</t>
        </is>
      </c>
    </row>
    <row r="17" ht="23.85" customHeight="1" s="13">
      <c r="A17" s="18" t="inlineStr">
        <is>
          <t>11. Next Steps</t>
        </is>
      </c>
      <c r="B17" s="19" t="inlineStr">
        <is>
          <t>What would most improve the result?</t>
        </is>
      </c>
      <c r="C17" s="19" t="inlineStr">
        <is>
          <t>Comment backfill into the aggregates (~10x data, feeds every feature), prices to 2017 (real 2018-2020 train/test years), forward out-of-sample tracking.</t>
        </is>
      </c>
    </row>
    <row r="18" ht="15" customHeight="1" s="13">
      <c r="A18" s="20" t="inlineStr">
        <is>
          <t>12. References</t>
        </is>
      </c>
      <c r="B18" s="15" t="inlineStr">
        <is>
          <t>What is all of this built on?</t>
        </is>
      </c>
      <c r="C18" s="15" t="inlineStr">
        <is>
          <t>Every paper used, with where it entered the design.</t>
        </is>
      </c>
    </row>
  </sheetData>
  <mergeCells count="1">
    <mergeCell ref="A1:C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C1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2" min="1" max="1"/>
    <col width="60" customWidth="1" style="12" min="2" max="2"/>
    <col width="52" customWidth="1" style="12" min="3" max="3"/>
  </cols>
  <sheetData>
    <row r="1" ht="25.5" customHeight="1" s="13">
      <c r="A1" s="14" t="inlineStr">
        <is>
          <t>1. Motivation &amp; Aim</t>
        </is>
      </c>
    </row>
    <row r="3" ht="15" customHeight="1" s="13">
      <c r="A3" s="17" t="inlineStr">
        <is>
          <t>Item</t>
        </is>
      </c>
      <c r="B3" s="17" t="inlineStr">
        <is>
          <t>Statement</t>
        </is>
      </c>
      <c r="C3" s="17" t="inlineStr">
        <is>
          <t>Why / provenance</t>
        </is>
      </c>
    </row>
    <row r="4" ht="35.05" customHeight="1" s="13">
      <c r="A4" s="20" t="inlineStr">
        <is>
          <t>The observation</t>
        </is>
      </c>
      <c r="B4" s="15" t="inlineStr">
        <is>
          <t>Retail crowds go through visible manic episodes: one name absorbs the room's attention, everyone is bullish for weeks, then the price makes a top and crashes.</t>
        </is>
      </c>
      <c r="C4" s="15" t="inlineStr">
        <is>
          <t>Desk experience + the attention-reversal literature [2][6][9].</t>
        </is>
      </c>
    </row>
    <row r="5" ht="35.05" customHeight="1" s="13">
      <c r="A5" s="18" t="inlineStr">
        <is>
          <t>The aim</t>
        </is>
      </c>
      <c r="B5" s="19" t="inlineStr">
        <is>
          <t>Detect the EUPHORIA state and raise an alert BEFORE the top: success = alert inside [peak - 30 days, peak + 1 day], the closer the better, with false alarms rare.</t>
        </is>
      </c>
      <c r="C5" s="19" t="inlineStr">
        <is>
          <t>Set by the desk, July 2026. The window is the aim's own definition of success - fixed before any validation was run.</t>
        </is>
      </c>
    </row>
    <row r="6" ht="23.85" customHeight="1" s="13">
      <c r="A6" s="20" t="inlineStr">
        <is>
          <t>Desk hypothesis 1</t>
        </is>
      </c>
      <c r="B6" s="15" t="inlineStr">
        <is>
          <t>Euphoria = super bullish AND has been for a long time.</t>
        </is>
      </c>
      <c r="C6" s="15" t="inlineStr">
        <is>
          <t>Encoded as rule E2 + gate A2b (28d bullish level + &gt;=75% of posting days net-bullish).</t>
        </is>
      </c>
    </row>
    <row r="7" ht="35.05" customHeight="1" s="13">
      <c r="A7" s="18" t="inlineStr">
        <is>
          <t>Desk hypothesis 2</t>
        </is>
      </c>
      <c r="B7" s="19" t="inlineStr">
        <is>
          <t>A top is near when retail is still loud but becoming LESS bullish.</t>
        </is>
      </c>
      <c r="C7" s="19" t="inlineStr">
        <is>
          <t>Encoded as the fade trigger E4 (attention &gt;= 90th pct while 14d bullish share falls). Ablation: the single biggest capture contributor (sheet 6).</t>
        </is>
      </c>
    </row>
    <row r="8" ht="23.85" customHeight="1" s="13">
      <c r="A8" s="20" t="inlineStr">
        <is>
          <t>Desk hypothesis 3</t>
        </is>
      </c>
      <c r="B8" s="15" t="inlineStr">
        <is>
          <t>A ticker that is extremely hot AND euphoric is the dangerous one.</t>
        </is>
      </c>
      <c r="C8" s="15" t="inlineStr">
        <is>
          <t>Encoded as gate A2 (attention &gt;= 90th pct) + the hype prerequisite A1 (7d share &gt;= 2x its 120d median).</t>
        </is>
      </c>
    </row>
    <row r="9" ht="35.05" customHeight="1" s="13">
      <c r="A9" s="18" t="inlineStr">
        <is>
          <t>THE constraint</t>
        </is>
      </c>
      <c r="B9" s="19" t="inlineStr">
        <is>
          <t>Prediction uses Reddit-derived data ONLY. Price never enters the euphoria level or the alert - it defines and scores the ground-truth tops, nothing else.</t>
        </is>
      </c>
      <c r="C9" s="19" t="inlineStr">
        <is>
          <t>Desk rule, July 2026. Keeps the claim clean: 'the crowd alone called the top'. Its measured cost: sheet 5.</t>
        </is>
      </c>
    </row>
    <row r="10" ht="35.05" customHeight="1" s="13">
      <c r="A10" s="20" t="inlineStr">
        <is>
          <t>Ground truth (for testing)</t>
        </is>
      </c>
      <c r="B10" s="15" t="inlineStr">
        <is>
          <t>A PEAK = local 21d high, &gt;=25% (ETF) / &gt;=50% (single name) above its 120d low, followed by a &gt;=15% / &gt;=30% drawdown within 90d. Peaks under 30d apart collapse to the higher.</t>
        </is>
      </c>
      <c r="C10" s="15" t="inlineStr">
        <is>
          <t>Price-defined so the test cannot flatter the detector. Dual thresholds: the desk's call - single names are structurally more volatile.</t>
        </is>
      </c>
    </row>
    <row r="11" ht="35.05" customHeight="1" s="13">
      <c r="A11" s="18" t="inlineStr">
        <is>
          <t>Universe</t>
        </is>
      </c>
      <c r="B11" s="19" t="inlineStr">
        <is>
          <t>Tradeable themes (anchor ETFs) minus rates_bonds &amp; real_estate, PLUS the top-25 most-mentioned priced single names (data-chosen, needs &gt;=3,000 scored posts), PLUS retail commodities via their ETFs.</t>
        </is>
      </c>
      <c r="C11" s="19" t="inlineStr">
        <is>
          <t>Desk scope decision, July 2026. Single-name list is data-chosen so the detector catches the NEXT NVDA, not a hand list of the last one.</t>
        </is>
      </c>
    </row>
  </sheetData>
  <mergeCells count="1">
    <mergeCell ref="A1:C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C9"/>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2" min="1" max="1"/>
    <col width="62" customWidth="1" style="12" min="2" max="2"/>
    <col width="46" customWidth="1" style="12" min="3" max="3"/>
  </cols>
  <sheetData>
    <row r="1" ht="25.5" customHeight="1" s="13">
      <c r="A1" s="14" t="inlineStr">
        <is>
          <t>2. Literature - each finding and where it entered the design</t>
        </is>
      </c>
    </row>
    <row r="3" ht="15" customHeight="1" s="13">
      <c r="A3" s="17" t="inlineStr">
        <is>
          <t>Finding (source)</t>
        </is>
      </c>
      <c r="B3" s="17" t="inlineStr">
        <is>
          <t>What the research says</t>
        </is>
      </c>
      <c r="C3" s="17" t="inlineStr">
        <is>
          <t>Where it lives in this project</t>
        </is>
      </c>
    </row>
    <row r="4" ht="35.05" customHeight="1" s="13">
      <c r="A4" s="20" t="inlineStr">
        <is>
          <t>Attention extremes reverse [2]</t>
        </is>
      </c>
      <c r="B4" s="15" t="inlineStr">
        <is>
          <t>Retail attention surges predict negative abnormal returns - attention-induced buying pushes prices past fundamentals, then they mean-revert (Robinhood herding episodes).</t>
        </is>
      </c>
      <c r="C4" s="15" t="inlineStr">
        <is>
          <t>E1 (attention extremity) + gate A2. Attention is ranked against the name's OWN history, so 'extreme' is name-relative.</t>
        </is>
      </c>
    </row>
    <row r="5" ht="35.05" customHeight="1" s="13">
      <c r="A5" s="18" t="inlineStr">
        <is>
          <t>WSB / discussion-board herding [6][9]</t>
        </is>
      </c>
      <c r="B5" s="19" t="inlineStr">
        <is>
          <t>WallStreetBets activity concentrates attention and amplifies one-way trades; returns following peak attention are poor; social-network 'dumb money' herding measures predict reversals.</t>
        </is>
      </c>
      <c r="C5" s="19" t="inlineStr">
        <is>
          <t>The hype prerequisite A1 (the crowd must have genuinely swollen) and the 21d episode cooldown.</t>
        </is>
      </c>
    </row>
    <row r="6" ht="35.05" customHeight="1" s="13">
      <c r="A6" s="20" t="inlineStr">
        <is>
          <t>Sentiment extremes are contrarian [5][10][11]</t>
        </is>
      </c>
      <c r="B6" s="15" t="inlineStr">
        <is>
          <t>Aggregated bullishness peaks coincide with local price tops in Twitter/Reddit studies; the marginal buyer is exhausted when everyone is already bullish.</t>
        </is>
      </c>
      <c r="C6" s="15" t="inlineStr">
        <is>
          <t>E2 (sustained bullishness, persistence-gated) + the fade trigger E4 (mood rolls over while the crowd is maximal - the classic distribution pattern).</t>
        </is>
      </c>
    </row>
    <row r="7" ht="46.25" customHeight="1" s="13">
      <c r="A7" s="18" t="inlineStr">
        <is>
          <t>Super-exponential growth = bubble signature [3][4][7][8]</t>
        </is>
      </c>
      <c r="B7" s="19" t="inlineStr">
        <is>
          <t>Sornette's LPPLS: unsustainable bubbles show faster-than-exponential growth (the log curves upward) before the crash; validated on two centuries of S&amp;P data [3] and on meme stocks [7].</t>
        </is>
      </c>
      <c r="C7" s="19" t="inlineStr">
        <is>
          <t>E5 - LPPLS-lite convexity applied to ATTENTION (log mentions), not price, per the Reddit-only rule: contagion whose growth rate is itself growing must saturate; attention saturation is where tops form.</t>
        </is>
      </c>
    </row>
    <row r="8" ht="35.05" customHeight="1" s="13">
      <c r="A8" s="20" t="inlineStr">
        <is>
          <t>Skill concentrates in identifiable users [1]</t>
        </is>
      </c>
      <c r="B8" s="15" t="inlineStr">
        <is>
          <t>Chan (Oxford, 2026): a small subset of users carries most predictive ability; they are identifiable from forecast history + network position; the LOUD hubs are the least accurate group (40.2% vs 79.2%).</t>
        </is>
      </c>
      <c r="C8" s="15" t="inlineStr">
        <is>
          <t>The whole Influence Tracker (sheet 8): usefulness composite, volatility-scaled judging, PageRank, loud-but-wrong flag, plus the ablation methodology (sheet 6).</t>
        </is>
      </c>
    </row>
    <row r="9" ht="35.05" customHeight="1" s="13">
      <c r="A9" s="18" t="inlineStr">
        <is>
          <t>Ablation &amp; perturbation methodology [1]</t>
        </is>
      </c>
      <c r="B9" s="19" t="inlineStr">
        <is>
          <t>Single-feature knock-outs measure each ingredient's marginal contribution; caveat - correlated features are understated; threshold-dependent metrics are noisy at small n.</t>
        </is>
      </c>
      <c r="C9" s="19" t="inlineStr">
        <is>
          <t>Sheet 6 replicates the design on the euphoria rules, caveats included.</t>
        </is>
      </c>
    </row>
  </sheetData>
  <mergeCells count="1">
    <mergeCell ref="A1:C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58" customWidth="1" style="12" min="2" max="2"/>
    <col width="50" customWidth="1" style="12" min="3" max="3"/>
  </cols>
  <sheetData>
    <row r="1" ht="25.5" customHeight="1" s="13">
      <c r="A1" s="14" t="inlineStr">
        <is>
          <t>3. Data &amp; Architecture</t>
        </is>
      </c>
    </row>
    <row r="3" ht="15" customHeight="1" s="13">
      <c r="A3" s="17" t="inlineStr">
        <is>
          <t>Component</t>
        </is>
      </c>
      <c r="B3" s="17" t="inlineStr">
        <is>
          <t>What it is</t>
        </is>
      </c>
      <c r="C3" s="17" t="inlineStr">
        <is>
          <t>Design guarantee</t>
        </is>
      </c>
    </row>
    <row r="4" ht="35.05" customHeight="1" s="13">
      <c r="A4" s="20" t="inlineStr">
        <is>
          <t>Sources</t>
        </is>
      </c>
      <c r="B4" s="15" t="inlineStr">
        <is>
          <t>17 finance subreddits (Arctic Shift, watermarked incremental), X/Twitter (FetchLayer), StockTwits streams - fetched in parallel with a 30s heartbeat.</t>
        </is>
      </c>
      <c r="C4" s="15" t="inlineStr">
        <is>
          <t>Dedup at fold time: first-seen wins; per-source id prefixes prevent collisions.</t>
        </is>
      </c>
    </row>
    <row r="5" ht="23.85" customHeight="1" s="13">
      <c r="A5" s="18" t="inlineStr">
        <is>
          <t>ABSTRACTED_DATA (committed)</t>
        </is>
      </c>
      <c r="B5" s="19" t="inlineStr">
        <is>
          <t>Six text-free daily aggregates: theme/ticker counts, sentiment (n-weighted net-bullish share), term counts, per-source counts.</t>
        </is>
      </c>
      <c r="C5" s="19" t="inlineStr">
        <is>
          <t>The text-free git contract: a FORBIDDEN-columns check runs on every export; raw text never leaves the external machine.</t>
        </is>
      </c>
    </row>
    <row r="6" ht="35.05" customHeight="1" s="13">
      <c r="A6" s="20" t="inlineStr">
        <is>
          <t>Two machines</t>
        </is>
      </c>
      <c r="B6" s="15" t="inlineStr">
        <is>
          <t>External holds posts.parquet (raw text) and can rebuild everything; internal holds only the aggregates and folds live posts straight in.</t>
        </is>
      </c>
      <c r="C6" s="15" t="inlineStr">
        <is>
          <t>Same command on both (update_data.py auto-detects); backtests are window-lenses over window-independent aggregates - instant.</t>
        </is>
      </c>
    </row>
    <row r="7" ht="35.05" customHeight="1" s="13">
      <c r="A7" s="18" t="inlineStr">
        <is>
          <t>Prices (TESTING ONLY)</t>
        </is>
      </c>
      <c r="B7" s="19" t="inlineStr">
        <is>
          <t>Bloomberg PX_LAST via blpapi, incremental append-only store, 287 symbols from 2021 (2017 after the extension command).</t>
        </is>
      </c>
      <c r="C7" s="19" t="inlineStr">
        <is>
          <t>Never a predictive input (test enforces it: compute_euphoria accepts no price argument). Defines ground-truth peaks + scores calls.</t>
        </is>
      </c>
    </row>
    <row r="8" ht="23.85" customHeight="1" s="13">
      <c r="A8" s="20" t="inlineStr">
        <is>
          <t>Comments (new)</t>
        </is>
      </c>
      <c r="B8" s="15" t="inlineStr">
        <is>
          <t>ingestion/fetch_reddit_comments.py - Arctic Shift comment endpoint, watermarked + backfillable; ~10x post volume.</t>
        </is>
      </c>
      <c r="C8" s="15" t="inlineStr">
        <is>
          <t>Feeds the Influence Tracker now; folding comments into the aggregates is the top capture-recovery lever (sheet 11).</t>
        </is>
      </c>
    </row>
    <row r="9" ht="35.05" customHeight="1" s="13">
      <c r="A9" s="18" t="inlineStr">
        <is>
          <t>Influence store (committed)</t>
        </is>
      </c>
      <c r="B9" s="19" t="inlineStr">
        <is>
          <t>data/reference/influence/: calls, author scores, reply edges - author names are public pseudonymous ids; NO text columns.</t>
        </is>
      </c>
      <c r="C9" s="19" t="inlineStr">
        <is>
          <t>Hard write-time check refuses text columns; per-machine ingest ledger stays local; every live run extends the store incrementally.</t>
        </is>
      </c>
    </row>
    <row r="10" ht="35.05" customHeight="1" s="13">
      <c r="A10" s="20" t="inlineStr">
        <is>
          <t>Coverage reality</t>
        </is>
      </c>
      <c r="B10" s="15" t="inlineStr">
        <is>
          <t>The Jan-2026 backfill is ~30x live daily volume; 2023-25 archive coverage is thin. 'Detectable' peaks = coverage existed in the alert window.</t>
        </is>
      </c>
      <c r="C10" s="15" t="inlineStr">
        <is>
          <t>Both capture rates (of all peaks / of detectable) are always reported; thin days draw as dotted bridges on charts, never invented values.</t>
        </is>
      </c>
    </row>
    <row r="11" s="13">
      <c r="A11" s="29" t="inlineStr">
        <is>
          <t>Comments decoupled (2026-07-24) - SUPERSEDED 2026-07-27</t>
        </is>
      </c>
      <c r="B11" s="29" t="inlineStr">
        <is>
          <t>Reddit comments left the daily pipeline; dedicated runner update_comments.py (upfront time estimate, resumable fetch, influence board update in one command) + matching dashboard button. update_data --with-comments restores the bundle for one run.</t>
        </is>
      </c>
      <c r="C11" s="29" t="inlineStr">
        <is>
          <t>Comments are the slow fetch: 10-50x post volume at the API's polite 1s/page - the daily pull should not pay for them. Influence store semantics unchanged (self-creates, zero-touch re-judging).</t>
        </is>
      </c>
      <c r="D11" s="29" t="inlineStr">
        <is>
          <t>fetch_all --skip-comments; update_comments.py; dashboard 'comments' plan</t>
        </is>
      </c>
    </row>
    <row r="12">
      <c r="A12" s="29" t="inlineStr">
        <is>
          <t>Dynamic subreddit panel (2026-07-24)</t>
        </is>
      </c>
      <c r="B12" s="29" t="inlineStr">
        <is>
          <t>Monthly watermarked review mines panel text for r/NAME referrals; a candidate with &gt;= 100 unique referrers/28d (PANEL_MIN_REFERRERS = the A0 floor, reused) that passes the same-ruler finance screen (ticker rate &gt;= 0.5x panel average) auto-joins the EXPLORATION tier; cap 1 add/review; CORE 17 frozen; audit manifest committed.</t>
        </is>
      </c>
      <c r="C12" s="29" t="inlineStr">
        <is>
          <t>The crowd tells you where it is moving (WSB-&gt;Superstonk) - same philosophy as the data-chosen single names. Cap + manifest + local by-subreddit aggregate exist because panel changes step the share denominator (the source_breadth lesson).</t>
        </is>
      </c>
      <c r="D12" s="29" t="inlineStr">
        <is>
          <t>ingestion/discover_subreddits.py; subreddit_panel.json; docs/panel_review_latest.md; TestDynamicPanel (4 tests)</t>
        </is>
      </c>
    </row>
    <row r="13">
      <c r="A13" s="29" t="inlineStr">
        <is>
          <t>Research/live split (2026-07-24)</t>
        </is>
      </c>
      <c r="B13" s="29" t="inlineStr">
        <is>
          <t>Live pulls score at FROZEN thresholds (seconds); the full validation (walk-forward + ablation + ML challenger + threshold selection) runs only on explicit --research, on year rollover (auto), on a missing report (auto), or on update_data --full (forced).</t>
        </is>
      </c>
      <c r="C13" s="29" t="inlineStr">
        <is>
          <t>The walk-forward trains each year's threshold on STRICTLY EARLIER years, so intra-year recompute is provably a no-op - research decides once, live scores. Phases' live threshold now selects on full prior years only (stable within a year by construction).</t>
        </is>
      </c>
      <c r="D13" s="29" t="inlineStr">
        <is>
          <t>run_analytics --research; euphoria.needs_research / phases.onset_needs_research; TestResearchLiveSplit</t>
        </is>
      </c>
    </row>
    <row r="14">
      <c r="A14" s="29" t="inlineStr">
        <is>
          <t>Terminal display policy (2026-07-24)</t>
        </is>
      </c>
      <c r="B14" s="29" t="inlineStr">
        <is>
          <t>EUPHORIA tabs list EVERY instrument alerted inside the selected window, newest alert first (no filler names). Single names show a STARTING flag only when the crowd cleared the FULL A1 hype bar (2x own 120d median) at the alert - really-euphoric names only, no flicker. Glossary + per-theme/per-ticker hit-rate tables added to the notebooks.</t>
        </is>
      </c>
      <c r="C14" s="29" t="inlineStr">
        <is>
          <t>Display policy, not a detector change: the research alerts are unchanged; the terminal holds tickers to the same 2x bar the ENDING detector already requires (existing frozen constant, no new number).</t>
        </is>
      </c>
      <c r="D14" s="29" t="inlineStr">
        <is>
          <t>dashboard.py render_euphoria_tab; euphoria_onset.parquet hype_raw column; NB04 per-name tables</t>
        </is>
      </c>
    </row>
    <row r="15">
      <c r="A15" s="29" t="inlineStr">
        <is>
          <t>Episode coherence + chart clarity (2026-07-24)</t>
        </is>
      </c>
      <c r="B15" s="29" t="inlineStr">
        <is>
          <t>ASYMMETRIC coherence rule on the terminal: a START within one 21d cooldown AFTER an END is suppressed (contradictory flip); an END after a START is never suppressed. Level charts show the 7d-smoothed curve (ROLL), the frozen threshold line, and highlight only alert-ELIGIBLE stretches (A1 gate) - plus a type-to-search lookup for any name.</t>
        </is>
      </c>
      <c r="C15" s="29" t="inlineStr">
        <is>
          <t>Measured, not assumed: the symmetric rule cost the top detector HALF its walk-forward captures (17-&gt;9) for 8 fewer FAs - fast manias genuinely run start-to-end inside a cooldown; the onset direction cost 2 captures and removed 7 FAs. Cooldown 21d = the existing one-episode constant; smoothing window = the existing ROLL=7.</t>
        </is>
      </c>
      <c r="D15" s="29" t="inlineStr">
        <is>
          <t>episode_coherent_alerts + TestEpisodeCoherence (4 tests); dashboard draw_chart</t>
        </is>
      </c>
    </row>
    <row r="16" s="13">
      <c r="A16" s="29" t="inlineStr">
        <is>
          <t>Comments BUDGETED back into the live pipeline (2026-07-27) - REVERSES row 11</t>
        </is>
      </c>
      <c r="B16" s="29" t="inlineStr">
        <is>
          <t>update_data.py fetches comments on EVERY run again (--with-comments is now accepted and ignored; --skip-comments is the new opt-out), but under a measured PAGE ALLOWANCE instead of uncapped. src/pipeline_budget.py computes it as (600s desk ceiling - this machine's MEASURED non-fetch stage seconds) x 1 req/s, then splits it across subreddits in proportion to the days each one owes, with a one-page anti-starvation floor. Two self-measuring EWMA ledgers back it: pipeline_stage_times.json (stage costs) and reddit_comments_cost.json (pages/day per subreddit); both are gitignored because they measure ONE machine's speed. update_comments.py survives as the UNBUDGETED runner for backfills and long-gap catch-up, and its hand-written time ranges were replaced by a ledger-computed estimate.</t>
        </is>
      </c>
      <c r="C16" s="29" t="inlineStr">
        <is>
          <t>WHY REVERSED: an influence board that rescores month-old comments is not a live board - row 11 optimised runtime at the cost of the tab's whole claim. WHY BUDGETED rather than simply switched back on: the cost was measured, not assumed. Intersecting comment-call rec_ids with reply_edges gives 12,010/417,208 = 2.879% call rate among comments, which against two independent months (403 and 414 comment-calls/day) implies ~14,000 comments/day = ~140 pages/day across the 17-sub panel - so a 7-day gap costs 16.3-16.8 min against the desk's ~10-min ceiling (caveat: the rate is measured on the edge-covered 48% of comment-calls). PIPELINE_BUDGET_S = 600 is the ONLY human-chosen number; alpha = 0.2 is DERIVED via the span identity 2/(N+1) with N = round(28/3.2) = 9, and the 5-day lookback is ceil(3.2)+1. REJECTED with reasons: a wall-clock stopwatch (data collected becomes a function of network luck, so no two runs compare and 'why did it stop there?' has no answer); parallel workers (W workers x 1s pauses = W req/s, breaking the politeness contract the project accepted when it chose a free public API); uniform window narrowing (penalises quiet subreddits to subsidise loud ones); per-subreddit yield ranking (the store has no subreddit column). The one legitimate speedup shipped: a Pacer sleeping the REMAINDER of the second instead of a flat second after each round-trip - 28% dead time removed at an unchanged request rate (261ms vs 360ms over 6 requests). Hitting a cap sets completed = False so the watermark does NOT advance: deferral, never loss - the board is never silently partial, only ever less fresh. Consequence the desk accepted: run the pipeline ~2x a week (the measured cadence is 3.32 days, i.e. what one allowance buys).</t>
        </is>
      </c>
      <c r="D16" s="29" t="inlineStr">
        <is>
          <t>src/pipeline_budget.py (allocate/allowance_pages/non_fetch_seconds); src/config.py COMMENT INGESTION BUDGET block; ingestion/fetch_reddit_comments.py Pacer + --max-pages; fetch_all.py --comment-pages; update_data.py stage timing; PARAMETER_REGISTER Class 7; ARCHITECTURE 3.1b + 3.1b-i; RESEARCH_REPORT changelog 2026-07-27 (o). Verified: 75 tests pass, real run wrote the ledger and the allowance self-corrected 449 -&gt; 465 pages, plus two no-network stub tests (cap/watermark/ledger semantics; all three fetch_all hand-off paths).</t>
        </is>
      </c>
    </row>
  </sheetData>
  <mergeCells count="1">
    <mergeCell ref="A1:C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1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2" min="1" max="1"/>
    <col width="46" customWidth="1" style="12" min="2" max="2"/>
    <col width="30" customWidth="1" style="12" min="3" max="3"/>
    <col width="24" customWidth="1" style="12" min="4" max="4"/>
    <col width="30" customWidth="1" style="12" min="5" max="5"/>
  </cols>
  <sheetData>
    <row r="1" ht="25.5" customHeight="1" s="13">
      <c r="A1" s="14" t="inlineStr">
        <is>
          <t>4. Euphoria Detector - every rule, its value, and its status</t>
        </is>
      </c>
    </row>
    <row r="3" ht="15" customHeight="1" s="13">
      <c r="A3" s="17" t="inlineStr">
        <is>
          <t>Rule</t>
        </is>
      </c>
      <c r="B3" s="17" t="inlineStr">
        <is>
          <t>Definition</t>
        </is>
      </c>
      <c r="C3" s="17" t="inlineStr">
        <is>
          <t>Rationale</t>
        </is>
      </c>
      <c r="D3" s="17" t="inlineStr">
        <is>
          <t>Parameter(s)</t>
        </is>
      </c>
      <c r="E3" s="17" t="inlineStr">
        <is>
          <t>Status</t>
        </is>
      </c>
    </row>
    <row r="4" ht="23.85" customHeight="1" s="13">
      <c r="A4" s="20" t="inlineStr">
        <is>
          <t>E1</t>
        </is>
      </c>
      <c r="B4" s="15" t="inlineStr">
        <is>
          <t>Attention extremity: trailing pct-rank of the 7d mention share (vs the name's own last 365d).</t>
        </is>
      </c>
      <c r="C4" s="15" t="inlineStr">
        <is>
          <t>You cannot be euphoric quietly [2].</t>
        </is>
      </c>
      <c r="D4" s="15" t="inlineStr">
        <is>
          <t>rank window 365d, min 180d</t>
        </is>
      </c>
      <c r="E4" s="15" t="inlineStr">
        <is>
          <t>Fixed a priori</t>
        </is>
      </c>
    </row>
    <row r="5" ht="57.45" customHeight="1" s="13">
      <c r="A5" s="18" t="inlineStr">
        <is>
          <t>E2</t>
        </is>
      </c>
      <c r="B5" s="19" t="inlineStr">
        <is>
          <t>Sustained bullishness: pct-rank of the 28d net-bullish share, x0 unless &gt;=75% of the last 28 POSTING days were net-bullish.</t>
        </is>
      </c>
      <c r="C5" s="19" t="inlineStr">
        <is>
          <t>Desk hypothesis 1: weeks of one-way lean, not one loud day. Persistence over posting days: a zero-post day is 'no evidence', not 'not bullish'.</t>
        </is>
      </c>
      <c r="D5" s="19" t="inlineStr">
        <is>
          <t>28d window, 75% persistence</t>
        </is>
      </c>
      <c r="E5" s="19" t="inlineStr">
        <is>
          <t>Fixed a priori</t>
        </is>
      </c>
    </row>
    <row r="6" ht="23.85" customHeight="1" s="13">
      <c r="A6" s="20" t="inlineStr">
        <is>
          <t>E3</t>
        </is>
      </c>
      <c r="B6" s="15" t="inlineStr">
        <is>
          <t>Crowd influx: pct-rank of the 28d CHANGE in mention share.</t>
        </is>
      </c>
      <c r="C6" s="15" t="inlineStr">
        <is>
          <t>The crowd is still arriving - late-stage contagion.</t>
        </is>
      </c>
      <c r="D6" s="15" t="inlineStr">
        <is>
          <t>28d diff</t>
        </is>
      </c>
      <c r="E6" s="15" t="inlineStr">
        <is>
          <t>Fixed a priori</t>
        </is>
      </c>
    </row>
    <row r="7" ht="46.25" customHeight="1" s="13">
      <c r="A7" s="18" t="inlineStr">
        <is>
          <t>E5</t>
        </is>
      </c>
      <c r="B7" s="19" t="inlineStr">
        <is>
          <t>Super-exponential ATTENTION growth: pct-rank of positive convexity of log(1+mentions, 7d-smoothed) over a rolling 60d quadratic fit.</t>
        </is>
      </c>
      <c r="C7" s="19" t="inlineStr">
        <is>
          <t>Sornette's bubble signature [3][4][7][8], applied to the crowd (Reddit-only rule): accelerating contagion must saturate.</t>
        </is>
      </c>
      <c r="D7" s="19" t="inlineStr">
        <is>
          <t>60d fit window</t>
        </is>
      </c>
      <c r="E7" s="19" t="inlineStr">
        <is>
          <t>Fixed a priori</t>
        </is>
      </c>
    </row>
    <row r="8" ht="23.85" customHeight="1" s="13">
      <c r="A8" s="20" t="inlineStr">
        <is>
          <t>LEVEL</t>
        </is>
      </c>
      <c r="B8" s="15" t="inlineStr">
        <is>
          <t>EUPHORIA LEVEL = 100 x mean(E1, E2, E3, E5).</t>
        </is>
      </c>
      <c r="C8" s="15" t="inlineStr">
        <is>
          <t>Equal weights - no fitted feature weights to overfit.</t>
        </is>
      </c>
      <c r="D8" s="15" t="inlineStr">
        <is>
          <t>-</t>
        </is>
      </c>
      <c r="E8" s="15" t="inlineStr">
        <is>
          <t>Fixed a priori</t>
        </is>
      </c>
    </row>
    <row r="9" ht="35.05" customHeight="1" s="13">
      <c r="A9" s="18" t="inlineStr">
        <is>
          <t>E4 fade</t>
        </is>
      </c>
      <c r="B9" s="19" t="inlineStr">
        <is>
          <t>Trigger sharpener: attention &gt;= 90th pct while the 14d bullish share change is NEGATIVE -&gt; alert threshold drops by 10 points.</t>
        </is>
      </c>
      <c r="C9" s="19" t="inlineStr">
        <is>
          <t>Desk hypothesis 2: crowd maximal, mood rolling over - historically the LAST stage before the top.</t>
        </is>
      </c>
      <c r="D9" s="19" t="inlineStr">
        <is>
          <t>discount 10 pts</t>
        </is>
      </c>
      <c r="E9" s="19" t="inlineStr">
        <is>
          <t>Fixed a priori</t>
        </is>
      </c>
    </row>
    <row r="10" ht="23.85" customHeight="1" s="13">
      <c r="A10" s="20" t="inlineStr">
        <is>
          <t>A0</t>
        </is>
      </c>
      <c r="B10" s="15" t="inlineStr">
        <is>
          <t>Coverage gate: &gt;= 100 scored posts in the last 28d.</t>
        </is>
      </c>
      <c r="C10" s="15" t="inlineStr">
        <is>
          <t>Percentile extremes on a handful of posts are noise wearing a costume.</t>
        </is>
      </c>
      <c r="D10" s="15" t="inlineStr">
        <is>
          <t>100 posts</t>
        </is>
      </c>
      <c r="E10" s="15" t="inlineStr">
        <is>
          <t>Fixed a priori</t>
        </is>
      </c>
    </row>
    <row r="11" ht="46.25" customHeight="1" s="13">
      <c r="A11" s="18" t="inlineStr">
        <is>
          <t>A1</t>
        </is>
      </c>
      <c r="B11" s="19" t="inlineStr">
        <is>
          <t>Hype prerequisite: 7d mention share &gt;= 2.0x its own trailing 120d MEDIAN.</t>
        </is>
      </c>
      <c r="C11" s="19" t="inlineStr">
        <is>
          <t>'Something must go euphoric first' - measured in the crowd, never the chart. Median (not min) so the gate cannot be vacuous.</t>
        </is>
      </c>
      <c r="D11" s="19" t="inlineStr">
        <is>
          <t>2.0x, 120d</t>
        </is>
      </c>
      <c r="E11" s="19" t="inlineStr">
        <is>
          <t>Fixed a priori</t>
        </is>
      </c>
    </row>
    <row r="12" ht="23.85" customHeight="1" s="13">
      <c r="A12" s="20" t="inlineStr">
        <is>
          <t>A2 / A2b</t>
        </is>
      </c>
      <c r="B12" s="15" t="inlineStr">
        <is>
          <t>Attention &gt;= 90th pct AND E2 &gt; 0 as hard prerequisites.</t>
        </is>
      </c>
      <c r="C12" s="15" t="inlineStr">
        <is>
          <t>Desk hypotheses 3 and 1 as gates, not just score components.</t>
        </is>
      </c>
      <c r="D12" s="15" t="inlineStr">
        <is>
          <t>0.90</t>
        </is>
      </c>
      <c r="E12" s="15" t="inlineStr">
        <is>
          <t>Fixed a priori</t>
        </is>
      </c>
    </row>
    <row r="13" ht="35.05" customHeight="1" s="13">
      <c r="A13" s="18" t="inlineStr">
        <is>
          <t>A3</t>
        </is>
      </c>
      <c r="B13" s="19" t="inlineStr">
        <is>
          <t>Level &gt;= threshold (or &gt;= threshold - 10 with fade active).</t>
        </is>
      </c>
      <c r="C13" s="19" t="inlineStr">
        <is>
          <t>THE trigger.</t>
        </is>
      </c>
      <c r="D13" s="19" t="inlineStr">
        <is>
          <t>threshold in {50..85}</t>
        </is>
      </c>
      <c r="E13" s="19" t="inlineStr">
        <is>
          <t>FITTED - walk-forward only, past years only; conservative default when training is empty</t>
        </is>
      </c>
    </row>
    <row r="14" ht="23.85" customHeight="1" s="13">
      <c r="A14" s="20" t="inlineStr">
        <is>
          <t>A4</t>
        </is>
      </c>
      <c r="B14" s="15" t="inlineStr">
        <is>
          <t>Cooldown: one alert per name per 21 days.</t>
        </is>
      </c>
      <c r="C14" s="15" t="inlineStr">
        <is>
          <t>One alert per episode - a manic month is one call, not twenty.</t>
        </is>
      </c>
      <c r="D14" s="15" t="inlineStr">
        <is>
          <t>21d</t>
        </is>
      </c>
      <c r="E14" s="15" t="inlineStr">
        <is>
          <t>Fixed a priori</t>
        </is>
      </c>
    </row>
    <row r="15" ht="46.25" customHeight="1" s="13">
      <c r="A15" s="18" t="inlineStr">
        <is>
          <t>Judging</t>
        </is>
      </c>
      <c r="B15" s="19" t="inlineStr">
        <is>
          <t>Alerts count only inside the judgeable window: price history exists at the alert AND for 45d after.</t>
        </is>
      </c>
      <c r="C15" s="19" t="inlineStr">
        <is>
          <t>Pre-price-history alerts are PENDING, not false - scoring them as FAs was a measured bug (fixed July 2026).</t>
        </is>
      </c>
      <c r="D15" s="19" t="inlineStr">
        <is>
          <t>45d</t>
        </is>
      </c>
      <c r="E15" s="19" t="inlineStr">
        <is>
          <t>Fixed a priori</t>
        </is>
      </c>
    </row>
    <row r="17" ht="57.45" customHeight="1" s="13">
      <c r="A17" s="21" t="inlineStr">
        <is>
          <t>NOTE</t>
        </is>
      </c>
      <c r="B17" s="22" t="inlineStr">
        <is>
          <t>The one deliberate trade: an earlier variant also used price features (log-price convexity + a price-boom gate) and captured 46% of detectable peaks. The Reddit-only rule gives that up for the clean claim. The delta is quantified on sheet 5 and the recovery path on sheet 11.</t>
        </is>
      </c>
      <c r="C17" s="22" t="n"/>
      <c r="D17" s="22" t="n"/>
      <c r="E17" s="22" t="n"/>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G19"/>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2" min="1" max="1"/>
    <col width="13" customWidth="1" style="12" min="2" max="5"/>
    <col width="14" customWidth="1" style="12" min="6" max="6"/>
    <col width="15" customWidth="1" style="12" min="7" max="7"/>
  </cols>
  <sheetData>
    <row r="1" ht="25.5" customHeight="1" s="13">
      <c r="A1" s="14" t="inlineStr">
        <is>
          <t>5. Walk-forward validation (threshold learned from PAST years only)</t>
        </is>
      </c>
    </row>
    <row r="3" ht="26.85" customHeight="1" s="13">
      <c r="A3" s="17" t="inlineStr">
        <is>
          <t>Year</t>
        </is>
      </c>
      <c r="B3" s="17" t="inlineStr">
        <is>
          <t>Threshold</t>
        </is>
      </c>
      <c r="C3" s="17" t="inlineStr">
        <is>
          <t>Peaks (all)</t>
        </is>
      </c>
      <c r="D3" s="17" t="inlineStr">
        <is>
          <t>Detectable</t>
        </is>
      </c>
      <c r="E3" s="17" t="inlineStr">
        <is>
          <t>Captured</t>
        </is>
      </c>
      <c r="F3" s="17" t="inlineStr">
        <is>
          <t>False alarms</t>
        </is>
      </c>
      <c r="G3" s="17" t="inlineStr">
        <is>
          <t>Capture rate (detectable)</t>
        </is>
      </c>
    </row>
    <row r="4" ht="15" customHeight="1" s="13">
      <c r="A4" s="15" t="inlineStr">
        <is>
          <t>2021</t>
        </is>
      </c>
      <c r="B4" s="15" t="n">
        <v>85</v>
      </c>
      <c r="C4" s="15" t="n">
        <v>38</v>
      </c>
      <c r="D4" s="15" t="n">
        <v>34</v>
      </c>
      <c r="E4" s="15" t="n">
        <v>13</v>
      </c>
      <c r="F4" s="15" t="n">
        <v>24</v>
      </c>
      <c r="G4" s="15">
        <f>IF(D4=0,"n/a",ROUND(E4/D4,3))</f>
        <v/>
      </c>
    </row>
    <row r="5" ht="15" customHeight="1" s="13">
      <c r="A5" s="19" t="inlineStr">
        <is>
          <t>2022</t>
        </is>
      </c>
      <c r="B5" s="19" t="n">
        <v>85</v>
      </c>
      <c r="C5" s="19" t="n">
        <v>47</v>
      </c>
      <c r="D5" s="19" t="n">
        <v>22</v>
      </c>
      <c r="E5" s="19" t="n">
        <v>2</v>
      </c>
      <c r="F5" s="19" t="n">
        <v>19</v>
      </c>
      <c r="G5" s="19">
        <f>IF(D5=0,"n/a",ROUND(E5/D5,3))</f>
        <v/>
      </c>
    </row>
    <row r="6" ht="15" customHeight="1" s="13">
      <c r="A6" s="15" t="inlineStr">
        <is>
          <t>2023</t>
        </is>
      </c>
      <c r="B6" s="15" t="n">
        <v>85</v>
      </c>
      <c r="C6" s="15" t="n">
        <v>35</v>
      </c>
      <c r="D6" s="15" t="n">
        <v>5</v>
      </c>
      <c r="E6" s="15" t="n">
        <v>0</v>
      </c>
      <c r="F6" s="15" t="n">
        <v>7</v>
      </c>
      <c r="G6" s="15">
        <f>IF(D6=0,"n/a",ROUND(E6/D6,3))</f>
        <v/>
      </c>
    </row>
    <row r="7" ht="15" customHeight="1" s="13">
      <c r="A7" s="19" t="inlineStr">
        <is>
          <t>2024</t>
        </is>
      </c>
      <c r="B7" s="19" t="n">
        <v>85</v>
      </c>
      <c r="C7" s="19" t="n">
        <v>44</v>
      </c>
      <c r="D7" s="19" t="n">
        <v>0</v>
      </c>
      <c r="E7" s="19" t="n">
        <v>0</v>
      </c>
      <c r="F7" s="19" t="n">
        <v>1</v>
      </c>
      <c r="G7" s="19">
        <f>IF(D7=0,"n/a",ROUND(E7/D7,3))</f>
        <v/>
      </c>
    </row>
    <row r="8" ht="15" customHeight="1" s="13">
      <c r="A8" s="15" t="inlineStr">
        <is>
          <t>2025</t>
        </is>
      </c>
      <c r="B8" s="15" t="n">
        <v>85</v>
      </c>
      <c r="C8" s="15" t="n">
        <v>34</v>
      </c>
      <c r="D8" s="15" t="n">
        <v>0</v>
      </c>
      <c r="E8" s="15" t="n">
        <v>0</v>
      </c>
      <c r="F8" s="15" t="n">
        <v>0</v>
      </c>
      <c r="G8" s="15">
        <f>IF(D8=0,"n/a",ROUND(E8/D8,3))</f>
        <v/>
      </c>
    </row>
    <row r="9" ht="15" customHeight="1" s="13">
      <c r="A9" s="19" t="inlineStr">
        <is>
          <t>2026</t>
        </is>
      </c>
      <c r="B9" s="19" t="n">
        <v>85</v>
      </c>
      <c r="C9" s="19" t="n">
        <v>21</v>
      </c>
      <c r="D9" s="19" t="n">
        <v>13</v>
      </c>
      <c r="E9" s="19" t="n">
        <v>2</v>
      </c>
      <c r="F9" s="19" t="n">
        <v>7</v>
      </c>
      <c r="G9" s="19">
        <f>IF(D9=0,"n/a",ROUND(E9/D9,3))</f>
        <v/>
      </c>
    </row>
    <row r="10" ht="15" customHeight="1" s="13">
      <c r="A10" s="23" t="inlineStr">
        <is>
          <t>TOTAL</t>
        </is>
      </c>
      <c r="B10" s="24" t="n"/>
      <c r="C10" s="23">
        <f>SUM(C4:C9)</f>
        <v/>
      </c>
      <c r="D10" s="23">
        <f>SUM(D4:D9)</f>
        <v/>
      </c>
      <c r="E10" s="23">
        <f>SUM(E4:E9)</f>
        <v/>
      </c>
      <c r="F10" s="23">
        <f>SUM(F4:F9)</f>
        <v/>
      </c>
      <c r="G10" s="23">
        <f>ROUND(E10/D10,3)</f>
        <v/>
      </c>
    </row>
    <row r="12" ht="26.85" customHeight="1" s="13">
      <c r="A12" s="17" t="inlineStr">
        <is>
          <t>Headline metric</t>
        </is>
      </c>
      <c r="B12" s="17" t="inlineStr">
        <is>
          <t>Value</t>
        </is>
      </c>
      <c r="C12" s="17" t="n"/>
      <c r="D12" s="17" t="n"/>
      <c r="E12" s="17" t="n"/>
      <c r="F12" s="17" t="n"/>
      <c r="G12" s="17" t="n"/>
    </row>
    <row r="13" ht="35.05" customHeight="1" s="13">
      <c r="A13" s="20" t="inlineStr">
        <is>
          <t>Capture rate, of detectable peaks</t>
        </is>
      </c>
      <c r="B13" s="15">
        <f>ROUND(17/74,3)</f>
        <v/>
      </c>
      <c r="C13" s="15" t="n"/>
      <c r="D13" s="15" t="n"/>
      <c r="E13" s="15" t="n"/>
      <c r="F13" s="15" t="n"/>
      <c r="G13" s="15" t="n"/>
    </row>
    <row r="14" ht="57.45" customHeight="1" s="13">
      <c r="A14" s="20" t="inlineStr">
        <is>
          <t>Capture rate, of ALL peaks (incl. no-coverage eras)</t>
        </is>
      </c>
      <c r="B14" s="15">
        <f>ROUND(17/219,3)</f>
        <v/>
      </c>
      <c r="C14" s="15" t="n"/>
      <c r="D14" s="15" t="n"/>
      <c r="E14" s="15" t="n"/>
      <c r="F14" s="15" t="n"/>
      <c r="G14" s="15" t="n"/>
    </row>
    <row r="15" ht="35.05" customHeight="1" s="13">
      <c r="A15" s="20" t="inlineStr">
        <is>
          <t>Median lead (days before the peak)</t>
        </is>
      </c>
      <c r="B15" s="15" t="n">
        <v>4</v>
      </c>
      <c r="C15" s="15" t="n"/>
      <c r="D15" s="15" t="n"/>
      <c r="E15" s="15" t="n"/>
      <c r="F15" s="15" t="n"/>
      <c r="G15" s="15" t="n"/>
    </row>
    <row r="16" ht="79.84999999999999" customHeight="1" s="13">
      <c r="A16" s="20" t="inlineStr">
        <is>
          <t>False alarms per instrument-year (59 instruments x 9 eval years)</t>
        </is>
      </c>
      <c r="B16" s="15">
        <f>ROUND(58/(59*9),2)</f>
        <v/>
      </c>
      <c r="C16" s="15" t="n"/>
      <c r="D16" s="15" t="n"/>
      <c r="E16" s="15" t="n"/>
      <c r="F16" s="15" t="n"/>
      <c r="G16" s="15" t="n"/>
    </row>
    <row r="17" ht="91" customHeight="1" s="13">
      <c r="A17" s="20" t="inlineStr">
        <is>
          <t>Price-assisted variant (retired under the Reddit-only rule)</t>
        </is>
      </c>
      <c r="B17" s="15" t="inlineStr">
        <is>
          <t>captured 46% of detectable, 0.08 FAs/instr-yr - the documented cost of the crowd-only claim</t>
        </is>
      </c>
      <c r="C17" s="15" t="n"/>
      <c r="D17" s="15" t="n"/>
      <c r="E17" s="15" t="n"/>
      <c r="F17" s="15" t="n"/>
      <c r="G17" s="15" t="n"/>
    </row>
    <row r="19" ht="46.25" customHeight="1" s="13">
      <c r="A19" s="21" t="inlineStr">
        <is>
          <t>Reading the table</t>
        </is>
      </c>
      <c r="B19" s="22" t="inlineStr">
        <is>
          <t>2021 + 2026 carry the signal because they carry the coverage (backfill + live eras). 2023-25 have ZERO detectable peaks - the detector is not wrong there, it is blind there, and the denominator says so honestly. 2021's threshold is the conservative default (its training years pre-date price history); extending prices to 2017 turns 2018-20 into real training and test years.</t>
        </is>
      </c>
      <c r="C19" s="25" t="n"/>
      <c r="D19" s="25" t="n"/>
      <c r="E19" s="25" t="n"/>
      <c r="F19" s="25" t="n"/>
      <c r="G19" s="26" t="n"/>
    </row>
  </sheetData>
  <mergeCells count="2">
    <mergeCell ref="B19:G19"/>
    <mergeCell ref="A1:G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G14"/>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2" min="1" max="1"/>
    <col width="15" customWidth="1" style="12" min="2" max="2"/>
    <col width="12" customWidth="1" style="12" min="3" max="3"/>
    <col width="13" customWidth="1" style="12" min="4" max="4"/>
    <col width="12" customWidth="1" style="12" min="5" max="5"/>
    <col width="13" customWidth="1" style="12" min="6" max="6"/>
    <col width="42" customWidth="1" style="12" min="7" max="7"/>
  </cols>
  <sheetData>
    <row r="1" ht="25.5" customHeight="1" s="13">
      <c r="A1" s="14" t="inlineStr">
        <is>
          <t>6. Ablation - drop one rule, re-run the ENTIRE walk-forward (design: [1] sec 7.2.1)</t>
        </is>
      </c>
    </row>
    <row r="3" ht="26.85" customHeight="1" s="13">
      <c r="A3" s="17" t="inlineStr">
        <is>
          <t>Variant</t>
        </is>
      </c>
      <c r="B3" s="17" t="inlineStr">
        <is>
          <t>Capture (of detectable)</t>
        </is>
      </c>
      <c r="C3" s="17" t="inlineStr">
        <is>
          <t>vs FULL</t>
        </is>
      </c>
      <c r="D3" s="17" t="inlineStr">
        <is>
          <t>False alarms</t>
        </is>
      </c>
      <c r="E3" s="17" t="inlineStr">
        <is>
          <t>vs FULL</t>
        </is>
      </c>
      <c r="F3" s="17" t="inlineStr">
        <is>
          <t>Median lead (d)</t>
        </is>
      </c>
      <c r="G3" s="17" t="inlineStr">
        <is>
          <t>Interpretation</t>
        </is>
      </c>
    </row>
    <row r="4" ht="15" customHeight="1" s="13">
      <c r="A4" s="23" t="inlineStr">
        <is>
          <t>FULL (all rules)</t>
        </is>
      </c>
      <c r="B4" s="24" t="n">
        <v>0.23</v>
      </c>
      <c r="C4" s="24" t="n">
        <v>0</v>
      </c>
      <c r="D4" s="24" t="n">
        <v>58</v>
      </c>
      <c r="E4" s="24" t="n">
        <v>0</v>
      </c>
      <c r="F4" s="24" t="n">
        <v>4</v>
      </c>
      <c r="G4" s="24" t="inlineStr">
        <is>
          <t>The baseline every knock-out is measured against.</t>
        </is>
      </c>
    </row>
    <row r="5" ht="23.85" customHeight="1" s="13">
      <c r="A5" s="18" t="inlineStr">
        <is>
          <t>- E1 attention (level)</t>
        </is>
      </c>
      <c r="B5" s="19" t="n">
        <v>0.189</v>
      </c>
      <c r="C5" s="19" t="n">
        <v>-0.041</v>
      </c>
      <c r="D5" s="19" t="n">
        <v>37</v>
      </c>
      <c r="E5" s="19" t="n">
        <v>-21</v>
      </c>
      <c r="F5" s="19" t="n">
        <v>4</v>
      </c>
      <c r="G5" s="19" t="inlineStr">
        <is>
          <t>Attention extremity carries capture - dropping it loses 3 of 17 catches.</t>
        </is>
      </c>
    </row>
    <row r="6" ht="35.05" customHeight="1" s="13">
      <c r="A6" s="20" t="inlineStr">
        <is>
          <t>- E2 sustained bull (level)</t>
        </is>
      </c>
      <c r="B6" s="15" t="n">
        <v>0.297</v>
      </c>
      <c r="C6" s="15" t="n">
        <v>0.067</v>
      </c>
      <c r="D6" s="15" t="n">
        <v>84</v>
      </c>
      <c r="E6" s="15" t="n">
        <v>26</v>
      </c>
      <c r="F6" s="15" t="n">
        <v>6.5</v>
      </c>
      <c r="G6" s="15" t="inlineStr">
        <is>
          <t>Removing E2 catches more but fires 45% more FAs - E2 is a precision feature. Kept: frozen a-priori design; revisiting it would be selecting on the test.</t>
        </is>
      </c>
    </row>
    <row r="7" ht="15" customHeight="1" s="13">
      <c r="A7" s="18" t="inlineStr">
        <is>
          <t>- E3 crowd influx (level)</t>
        </is>
      </c>
      <c r="B7" s="19" t="n">
        <v>0.189</v>
      </c>
      <c r="C7" s="19" t="n">
        <v>-0.041</v>
      </c>
      <c r="D7" s="19" t="n">
        <v>40</v>
      </c>
      <c r="E7" s="19" t="n">
        <v>-18</v>
      </c>
      <c r="F7" s="19" t="n">
        <v>4</v>
      </c>
      <c r="G7" s="19" t="inlineStr">
        <is>
          <t>Crowd influx carries capture symmetrically with E1.</t>
        </is>
      </c>
    </row>
    <row r="8" ht="23.85" customHeight="1" s="13">
      <c r="A8" s="20" t="inlineStr">
        <is>
          <t>- E5 super-exp attention (level)</t>
        </is>
      </c>
      <c r="B8" s="15" t="n">
        <v>0.203</v>
      </c>
      <c r="C8" s="15" t="n">
        <v>-0.027</v>
      </c>
      <c r="D8" s="15" t="n">
        <v>52</v>
      </c>
      <c r="E8" s="15" t="n">
        <v>-6</v>
      </c>
      <c r="F8" s="15" t="n">
        <v>2</v>
      </c>
      <c r="G8" s="15" t="inlineStr">
        <is>
          <t>The contagion-acceleration feature adds captures AND days of lead.</t>
        </is>
      </c>
    </row>
    <row r="9" ht="23.85" customHeight="1" s="13">
      <c r="A9" s="18" t="inlineStr">
        <is>
          <t>- hype gate A1</t>
        </is>
      </c>
      <c r="B9" s="19" t="n">
        <v>0.284</v>
      </c>
      <c r="C9" s="19" t="n">
        <v>0.054</v>
      </c>
      <c r="D9" s="19" t="n">
        <v>141</v>
      </c>
      <c r="E9" s="19" t="n">
        <v>83</v>
      </c>
      <c r="F9" s="19" t="n">
        <v>6</v>
      </c>
      <c r="G9" s="19" t="inlineStr">
        <is>
          <t>THE precision lever: without 'the crowd must have swollen', false alarms nearly triple.</t>
        </is>
      </c>
    </row>
    <row r="10" ht="23.85" customHeight="1" s="13">
      <c r="A10" s="20" t="inlineStr">
        <is>
          <t>- attention gate A2</t>
        </is>
      </c>
      <c r="B10" s="15" t="n">
        <v>0.23</v>
      </c>
      <c r="C10" s="15" t="n">
        <v>0</v>
      </c>
      <c r="D10" s="15" t="n">
        <v>60</v>
      </c>
      <c r="E10" s="15" t="n">
        <v>2</v>
      </c>
      <c r="F10" s="15" t="n">
        <v>4</v>
      </c>
      <c r="G10" s="15" t="inlineStr">
        <is>
          <t>Mostly redundant with A1 at these thresholds - kept as the stated definition of hypothesis 3.</t>
        </is>
      </c>
    </row>
    <row r="11" ht="15" customHeight="1" s="13">
      <c r="A11" s="18" t="inlineStr">
        <is>
          <t>- sustained-bull gate A2b</t>
        </is>
      </c>
      <c r="B11" s="19" t="n">
        <v>0.23</v>
      </c>
      <c r="C11" s="19" t="n">
        <v>0</v>
      </c>
      <c r="D11" s="19" t="n">
        <v>64</v>
      </c>
      <c r="E11" s="19" t="n">
        <v>6</v>
      </c>
      <c r="F11" s="19" t="n">
        <v>4</v>
      </c>
      <c r="G11" s="19" t="inlineStr">
        <is>
          <t>Pure precision, zero capture cost - a free gate.</t>
        </is>
      </c>
    </row>
    <row r="12" ht="35.05" customHeight="1" s="13">
      <c r="A12" s="20" t="inlineStr">
        <is>
          <t>- fade trigger E4</t>
        </is>
      </c>
      <c r="B12" s="15" t="n">
        <v>0.135</v>
      </c>
      <c r="C12" s="15" t="n">
        <v>-0.095</v>
      </c>
      <c r="D12" s="15" t="n">
        <v>27</v>
      </c>
      <c r="E12" s="15" t="n">
        <v>-31</v>
      </c>
      <c r="F12" s="15" t="n">
        <v>3</v>
      </c>
      <c r="G12" s="15" t="inlineStr">
        <is>
          <t>THE capture lever: the desk's 'still loud but less bullish' hypothesis is the single biggest contributor - it earns 7 of the 17 catches.</t>
        </is>
      </c>
    </row>
    <row r="14" ht="23.85" customHeight="1" s="13">
      <c r="A14" s="21" t="inlineStr">
        <is>
          <t>Caveats (the thesis's own, and they apply here too)</t>
        </is>
      </c>
      <c r="B14" s="22" t="inlineStr">
        <is>
          <t>Features are correlated, so single-feature drops UNDERSTATE overlapping ingredients; with 74 detectable peaks, deltas of a catch or two are noise - read the big movements (hype gate, fade trigger), not the decimals.</t>
        </is>
      </c>
      <c r="C14" s="25" t="n"/>
      <c r="D14" s="25" t="n"/>
      <c r="E14" s="25" t="n"/>
      <c r="F14" s="25" t="n"/>
      <c r="G14" s="26" t="n"/>
    </row>
  </sheetData>
  <mergeCells count="2">
    <mergeCell ref="B14:G14"/>
    <mergeCell ref="A1:G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C8"/>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2" min="1" max="1"/>
    <col width="46" customWidth="1" style="12" min="2" max="2"/>
    <col width="50" customWidth="1" style="12" min="3" max="3"/>
  </cols>
  <sheetData>
    <row r="1" ht="25.5" customHeight="1" s="13">
      <c r="A1" s="14" t="inlineStr">
        <is>
          <t>7. ML challenger - walk-forward logistic regression vs the hand-rules</t>
        </is>
      </c>
    </row>
    <row r="3" ht="15" customHeight="1" s="13">
      <c r="A3" s="17" t="inlineStr">
        <is>
          <t>Element</t>
        </is>
      </c>
      <c r="B3" s="17" t="inlineStr">
        <is>
          <t>Specification</t>
        </is>
      </c>
      <c r="C3" s="17" t="inlineStr">
        <is>
          <t>Result / reading</t>
        </is>
      </c>
    </row>
    <row r="4" ht="79.84999999999999" customHeight="1" s="13">
      <c r="A4" s="20" t="inlineStr">
        <is>
          <t>Model</t>
        </is>
      </c>
      <c r="B4" s="15" t="inlineStr">
        <is>
          <t>Logistic regression (class-balanced) on the SAME five features (E1, E2, E3, E5, fade), candidate days = same non-fitted prerequisites (hype + coverage gates). Deliberately the simplest learner: with ~70 positive events, anything bigger memorises (the thesis's GNNs managed ~12% precision on 133 positives - a warning about model appetite vs label supply [1]).</t>
        </is>
      </c>
      <c r="C4" s="15" t="inlineStr">
        <is>
          <t>Label: a detectable peak within [day-1, day+30]. Probability cut-off chosen on TRAIN years by the same utility (hits - 1.0 x FAs). Nothing sees the future.</t>
        </is>
      </c>
    </row>
    <row r="5" ht="35.05" customHeight="1" s="13">
      <c r="A5" s="18" t="inlineStr">
        <is>
          <t>Adoption criterion (fixed BEFORE the numbers)</t>
        </is>
      </c>
      <c r="B5" s="19" t="inlineStr">
        <is>
          <t>Replace the rules only if the ML wins on (a) matched-years utility AND (b) captures at least as many peaks in the most recent year AND (c) at least as many in total.</t>
        </is>
      </c>
      <c r="C5" s="19" t="inlineStr">
        <is>
          <t>(c) exists because a near-silent model can win the utility score by never firing - and a top detector that never fires is not a better top detector.</t>
        </is>
      </c>
    </row>
    <row r="6" ht="23.85" customHeight="1" s="13">
      <c r="A6" s="20" t="inlineStr">
        <is>
          <t>Matched-years result (2022-2026)</t>
        </is>
      </c>
      <c r="B6" s="15" t="inlineStr">
        <is>
          <t>Rules: 4 captured, utility -30. ML: 1 captured, 2 FAs, utility -1.</t>
        </is>
      </c>
      <c r="C6" s="15" t="inlineStr">
        <is>
          <t>ML wins utility by near-silence (criterion (a)) but fails (b) 1&lt;2 and (c) 1&lt;4 -&gt; RULES KEPT.</t>
        </is>
      </c>
    </row>
    <row r="7" ht="57.45" customHeight="1" s="13">
      <c r="A7" s="18" t="inlineStr">
        <is>
          <t>Learned coefficients</t>
        </is>
      </c>
      <c r="B7" s="19" t="inlineStr">
        <is>
          <t>e1 +1.10, e2 +0.83, e5 +0.56, e3 -1.27, fade -0.41.</t>
        </is>
      </c>
      <c r="C7" s="19" t="inlineStr">
        <is>
          <t>The learned model ranks attention extremity and sustained bullishness top - the same features the hand-rules lean on. Independent evidence the rules are not arbitrary. (Negative e3/fade at the daily-probability level vs their alert-level value = level-vs-trigger roles, documented in analytics/euphoria.py.)</t>
        </is>
      </c>
    </row>
    <row r="8" ht="46.25" customHeight="1" s="13">
      <c r="A8" s="20" t="inlineStr">
        <is>
          <t>Verdict</t>
        </is>
      </c>
      <c r="B8" s="15" t="inlineStr">
        <is>
          <t>RULES KEPT. The ML harness stays in the codebase and re-runs on every euphoria rebuild - if richer data (comment backfill) changes the verdict, the criterion is already stated.</t>
        </is>
      </c>
      <c r="C8" s="15" t="inlineStr">
        <is>
          <t>Re-tested automatically; the dashboard shows the comparison table each run.</t>
        </is>
      </c>
    </row>
  </sheetData>
  <mergeCells count="1">
    <mergeCell ref="A1:C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22" customWidth="1" style="13" min="1" max="1"/>
    <col width="52" customWidth="1" style="13" min="2" max="2"/>
    <col width="46" customWidth="1" style="13" min="3" max="3"/>
    <col width="40" customWidth="1" style="13" min="4" max="4"/>
  </cols>
  <sheetData>
    <row r="1">
      <c r="A1" s="27" t="inlineStr">
        <is>
          <t>7b. Euphoria START detection - the July-2026 phases study (notebooks 01-04)</t>
        </is>
      </c>
    </row>
    <row r="3">
      <c r="A3" s="28" t="inlineStr">
        <is>
          <t>Item</t>
        </is>
      </c>
      <c r="B3" s="28" t="inlineStr">
        <is>
          <t>Decision / result</t>
        </is>
      </c>
      <c r="C3" s="28" t="inlineStr">
        <is>
          <t>Derivation (no arbitrary numbers)</t>
        </is>
      </c>
      <c r="D3" s="28" t="inlineStr">
        <is>
          <t>Evidence</t>
        </is>
      </c>
    </row>
    <row r="4">
      <c r="A4" s="29" t="inlineStr">
        <is>
          <t>Aim</t>
        </is>
      </c>
      <c r="B4" s="29" t="inlineStr">
        <is>
          <t>Detect the START of GME-scale euphoria episodes from the crowd alone, sparingly; plus confirm the TOP detector.</t>
        </is>
      </c>
      <c r="C4" s="29" t="inlineStr">
        <is>
          <t>Extends the July-2026 re-aim; crowd-only hard rule unchanged (price = ground truth + scoring only).</t>
        </is>
      </c>
      <c r="D4" s="29" t="inlineStr">
        <is>
          <t>notebooks/01-04; analytics/euphoria_phases.py</t>
        </is>
      </c>
    </row>
    <row r="5">
      <c r="A5" s="29" t="inlineStr">
        <is>
          <t>Episode ground truth</t>
        </is>
      </c>
      <c r="B5" s="29" t="inlineStr">
        <is>
          <t>Boom-bust arc trough-&gt;peak-&gt;bust from the EXISTING peak rules G1-G3; trough = the 120d low G2 already measures the boom from.</t>
        </is>
      </c>
      <c r="C5" s="29" t="inlineStr">
        <is>
          <t>No new fitted quantity: every threshold inherited from the validated top study.</t>
        </is>
      </c>
      <c r="D5" s="29" t="inlineStr">
        <is>
          <t>NB01: 333 episodes, 126 onset-detectable, 136 top-detectable</t>
        </is>
      </c>
    </row>
    <row r="6">
      <c r="A6" s="29" t="inlineStr">
        <is>
          <t>Onset hit window</t>
        </is>
      </c>
      <c r="B6" s="29" t="inlineStr">
        <is>
          <t>[trough, trough+45d], CAPPED at the peak; mid-rally alerts = LATE (neither hit nor false).</t>
        </is>
      </c>
      <c r="C6" s="29" t="inlineStr">
        <is>
          <t>45d mirrors the existing FA horizon in score_alerts; cap prevents post-top alerts counting as 'caught the start'. Desk decision, recorded before results.</t>
        </is>
      </c>
      <c r="D6" s="29" t="inlineStr">
        <is>
          <t>NB01 register; test_onset_window_capped_at_peak</t>
        </is>
      </c>
    </row>
    <row r="7">
      <c r="A7" s="29" t="inlineStr">
        <is>
          <t>Feature bank (locked)</t>
        </is>
      </c>
      <c r="B7" s="29" t="inlineStr">
        <is>
          <t>attention_accel, hype_ratio, bull_inflection, influx_speed, attention_convexity.</t>
        </is>
      </c>
      <c r="C7" s="29" t="inlineStr">
        <is>
          <t>Every window derived from existing constants (ROLL=7, 28d E-windows, 14d fade window, 120d hype baseline). source_breadth REJECTED: coverage-regime artifact (X/StockTwits exist only from 2026).</t>
        </is>
      </c>
      <c r="D7" s="29" t="inlineStr">
        <is>
          <t>NB02 battery: per-feature AUROC + cluster-bootstrap CIs, ablation, perturbation</t>
        </is>
      </c>
    </row>
    <row r="8">
      <c r="A8" s="29" t="inlineStr">
        <is>
          <t>Tournament winner</t>
        </is>
      </c>
      <c r="B8" s="29" t="inlineStr">
        <is>
          <t>RULES (unweighted bank mean, coverage + above-median-attention gates). GBM tied on AP but not outside the bootstrap CI -&gt; parsimony; MLP finished below random.</t>
        </is>
      </c>
      <c r="C8" s="29" t="inlineStr">
        <is>
          <t>Criterion pre-stated: AP ranking (thesis 6.2.3), must beat random on AP+AUROC, parsimony CI rule; FA budget derived from the incumbent's accepted 0.23/instr-yr.</t>
        </is>
      </c>
      <c r="D8" s="29" t="inlineStr">
        <is>
          <t>NB03: rules AP 0.098 vs random 0.072; top task: rules AP 0.286 vs random 0.204</t>
        </is>
      </c>
    </row>
    <row r="9">
      <c r="A9" s="29" t="inlineStr">
        <is>
          <t>Validated record</t>
        </is>
      </c>
      <c r="B9" s="29" t="inlineStr">
        <is>
          <t>29/125 detectable onsets captured (23%), 21 late, 169 FA = 0.348/instr-yr (ABOVE the 0.23 budget - stated cost).</t>
        </is>
      </c>
      <c r="C9" s="29" t="inlineStr">
        <is>
          <t>Walk-forward, thresholds from past years only; both denominators always reported.</t>
        </is>
      </c>
      <c r="D9" s="29" t="inlineStr">
        <is>
          <t>NB04: median entry 17d after trough, 66d of rally still ahead</t>
        </is>
      </c>
    </row>
    <row r="10">
      <c r="A10" s="29" t="inlineStr">
        <is>
          <t>Label sensitivity</t>
        </is>
      </c>
      <c r="B10" s="29" t="inlineStr">
        <is>
          <t>Capture rate flat across softened(20/40)/standard(25/50)/hardened(30/60) boom labels: 22.4%, 23.2%, 22.1%.</t>
        </is>
      </c>
      <c r="C10" s="29" t="inlineStr">
        <is>
          <t>Thesis 7.1.2 port: conclusions must survive labelling perturbation.</t>
        </is>
      </c>
      <c r="D10" s="29" t="inlineStr">
        <is>
          <t>NB03 sensitivity table</t>
        </is>
      </c>
    </row>
    <row r="11">
      <c r="A11" s="29" t="inlineStr">
        <is>
          <t>Trading translation</t>
        </is>
      </c>
      <c r="B11" s="29" t="inlineStr">
        <is>
          <t>REJECTED for both ONSET-&gt;BUY and TOP-&gt;SELL under the pre-stated criterion (n&gt;=30, beats same-instrument 20d baseline, CI excludes 0).</t>
        </is>
      </c>
      <c r="C11" s="29" t="inlineStr">
        <is>
          <t>Same treatment as the retired BUY/SELL engine; evidence retained.</t>
        </is>
      </c>
      <c r="D11" s="29" t="inlineStr">
        <is>
          <t>NB04: onset diff -0.63% CI [-0.0151, 0.0026]; top diff -1.55% CI [-0.0563, 0.0263]</t>
        </is>
      </c>
    </row>
    <row r="12">
      <c r="A12" s="29" t="inlineStr">
        <is>
          <t>Dashboard</t>
        </is>
      </c>
      <c r="B12" s="29" t="inlineStr">
        <is>
          <t>New 'Start / End radar' tab: STARTING and ENDING panes, each split Themes | Single names; only names alerted within the 21d cooldown; record printed on the pane.</t>
        </is>
      </c>
      <c r="C12" s="29" t="inlineStr">
        <is>
          <t>Sparse by design - an empty pane is the radar working.</t>
        </is>
      </c>
      <c r="D12" s="29" t="inlineStr">
        <is>
          <t>dashboard.py t_phase; AppTest 0 exceptions</t>
        </is>
      </c>
    </row>
    <row r="13">
      <c r="A13" s="29" t="inlineStr">
        <is>
          <t>Price-assisted END gate (2026-07-24)</t>
        </is>
      </c>
      <c r="B13" s="29" t="inlineStr">
        <is>
          <t>PASSED all pre-stated conditions: G2 boom thresholds as a live prerequisite -&gt; capture 16-&gt;26 detectable tops (matched years), AP 0.286-&gt;0.435, FAs 44-&gt;41, capture-gain CI [+3.5pp,+13pp]. Offered as labelled second signal; claim becomes 'crowd + chart'.</t>
        </is>
      </c>
      <c r="C13" s="29" t="inlineStr">
        <is>
          <t>The gate reuses the ground-truth boom definition on trailing prices - no new constant, no look-ahead.</t>
        </is>
      </c>
      <c r="D13" s="29" t="inlineStr">
        <is>
          <t>NB03 commissioned-test section</t>
        </is>
      </c>
    </row>
    <row r="14">
      <c r="A14" s="29" t="inlineStr">
        <is>
          <t>Combined price+crowd ALERT bank (2026-07-24)</t>
        </is>
      </c>
      <c r="B14" s="29" t="inlineStr">
        <is>
          <t>REJECTED under pre-stated criterion: 65% cliff-30 hit rate indistinguishable from its own 62% candidate-day baseline (CI includes 0). Smoothed-trigger evidence retained: FA 31-&gt;24 at equal capture, median trigger run 6-&gt;8d.</t>
        </is>
      </c>
      <c r="C14" s="29" t="inlineStr">
        <is>
          <t>The alert layer cannot out-predict its own danger state; its job is timing the peak, which it does (median 8d lead).</t>
        </is>
      </c>
      <c r="D14" s="29" t="inlineStr">
        <is>
          <t>NB06 desk-signal study</t>
        </is>
      </c>
    </row>
    <row r="15">
      <c r="A15" s="29" t="inlineStr">
        <is>
          <t>DANGER STATE shipped (2026-07-24)</t>
        </is>
      </c>
      <c r="B15" s="29" t="inlineStr">
        <is>
          <t>The candidacy state (A1 2x hype AND G2 boom) validated as the standing drop-warning: cliff-30 = 62% in-state vs 19% ordinary, uplift CI [+28pp,+50pp]. Rendered as the amber band on every terminal price panel.</t>
        </is>
      </c>
      <c r="C15" s="29" t="inlineStr">
        <is>
          <t>Pure composition of two existing constants; the single most actionable statistic of the project for the PM use case.</t>
        </is>
      </c>
      <c r="D15" s="29" t="inlineStr">
        <is>
          <t>NB06; dashboard danger band; PARAMETER_REGISTER</t>
        </is>
      </c>
    </row>
    <row r="16">
      <c r="A16" s="29" t="inlineStr">
        <is>
          <t>DESK CONFIGURATION adopted: GET OUT (2026-07-24)</t>
        </is>
      </c>
      <c r="B16" s="29" t="inlineStr">
        <is>
          <t>Boom-gated END rules + 7d-smoothed (ROLL) trigger. Walk-forward: capture 24/122 detectable tops, FA 39 (0.195/instr-yr), AP 0.449 (raw gate 0.435), median warning 8d before the peak. Smoothing adopted by pre-stated rule (AP not lower AND FAs not higher); 2-capture cost recorded. Frozen live threshold 0.630 (budget rule, full prior years).</t>
        </is>
      </c>
      <c r="C16" s="29" t="inlineStr">
        <is>
          <t>The desk lifted the crowd-only rule for a labelled SECOND family ('use both price and social media - I want a better hit rate') and demanded no one-day blips. Candidacy = A1 hype AND G2 boom (existing constants only).</t>
        </is>
      </c>
      <c r="D16" s="29" t="inlineStr">
        <is>
          <t>NB06 adopted-configuration section; euphoria_desk_report.json; euphoria_phases.py §6</t>
        </is>
      </c>
    </row>
    <row r="17">
      <c r="A17" s="29" t="inlineStr">
        <is>
          <t>DESK CONFIGURATION adopted: GET IN (2026-07-24)</t>
        </is>
      </c>
      <c r="B17" s="29" t="inlineStr">
        <is>
          <t>Phase-aware onset (end-stage days - A1∧A2∧A3-persistence - excluded from candidacy) + 7d smoothing. Adjacency (START within 21d before an END) 20→2, LATE 21→10, FA 169→124; capture cost 29→20 of 125 RECORDED. Frozen live threshold 0.848. OVERRULES the earlier utility-rule rejection of the phase-aware variant as an explicit desk decision.</t>
        </is>
      </c>
      <c r="C17" s="29" t="inlineStr">
        <is>
          <t>The desk stated three times that a START landing on an END destroys PM trust - adjacency is the binding constraint, so it overrules raw capture. Selection rule pre-stated in NB06; drift guard pins notebook == production.</t>
        </is>
      </c>
      <c r="D17" s="29" t="inlineStr">
        <is>
          <t>NB06; euphoria_desk_report.json; PARAMETER_REGISTER class 5; dashboard GET IN/GET OUT banners</t>
        </is>
      </c>
    </row>
    <row r="18">
      <c r="A18" s="29" t="inlineStr">
        <is>
          <t>Improvement campaign: NOTHING adopted (2026-07-24, NB07)</t>
        </is>
      </c>
      <c r="B18" s="29" t="inlineStr">
        <is>
          <t>Four pre-registered challengers vs the shipped desk configuration (adoption rule pre-stated: more captures, FAs not higher, paired cluster gain CI excluding zero): per-kind thresholds REJECTED (cap 23 vs 24 on unmatched years, though FA halved 39-&gt;16 - WATCH item); logistic-weighted score REJECTED by parsimony (30 vs 24 captures but gain CI [-1,+11] touches zero - WATCH item, auto re-test at year rollover); smoothing sweep w in {1,3,5,7,10,14}: no window dominates w=7; Western-Electric run rules k&gt;1: dominated by the smoothed single crossing.</t>
        </is>
      </c>
      <c r="C18" s="29" t="inlineStr">
        <is>
          <t>The shipped configuration sits at the measured frontier. Watch items re-test automatically at the next --research pass under the same rule.</t>
        </is>
      </c>
      <c r="D18" s="29" t="inlineStr">
        <is>
          <t>NB07 part B; nb07_performance_battery.json; RESEARCH_REPORT 6.9</t>
        </is>
      </c>
    </row>
    <row r="19">
      <c r="A19" s="29" t="inlineStr">
        <is>
          <t>Clustering-as-conviction REJECTED as exit criterion (2026-07-24, NB07)</t>
        </is>
      </c>
      <c r="B19" s="29" t="inlineStr">
        <is>
          <t>The desk's 'buy-buy-buy / sell-sell-sell in a tight window' hypothesis, both forms: per-instrument intensity (trigger days in trailing 21d cooldown; STRONG = 2+ days) - cliff-30 rate 52.9% vs 55.9% single-day, uplift CI [-21pp,+22pp] straddles zero; cross-market breadth (share of names in GET OUT within 7d, top decile) - basket fwd-21d not separable at 90% (block bootstrap). A second GET OUT inside an episode is the same sell, not more sell.</t>
        </is>
      </c>
      <c r="C19" s="29" t="inlineStr">
        <is>
          <t>The exit criterion remains the GET OUT alert itself; the cooldown + smoothed trigger already absorb repetition. The standing warning remains the danger-state band (NB06).</t>
        </is>
      </c>
      <c r="D19" s="29" t="inlineStr">
        <is>
          <t>NB07 part C; RESEARCH_REPORT 6.9</t>
        </is>
      </c>
    </row>
    <row r="20">
      <c r="A20" s="29" t="inlineStr">
        <is>
          <t>Performance battery adopted into the research record (2026-07-24, NB07)</t>
        </is>
      </c>
      <c r="B20" s="29" t="inlineStr">
        <is>
          <t>Literature-grounded metrics added: PR/F1/MCC at the operating point (Davis &amp; Goadrich; Chicco &amp; Jurman), delay-vs-FA frontier (Page 1954), MacKinlay CAR with cluster CIs, reliability diagram (Murphy &amp; Winkler), Grinold-Kahn IC, overlay Sharpe/Sortino (descriptive). The positive daily IC (+0.11) is recorded as PROOF the detector is an episode alarm, not daily alpha - a defense point, not a defect.</t>
        </is>
      </c>
      <c r="C20" s="29" t="inlineStr">
        <is>
          <t>Desk asked for more metrics based on the research literature; every measure names its source in NB07 and the report references section.</t>
        </is>
      </c>
      <c r="D20" s="29" t="inlineStr">
        <is>
          <t>NB07 part A; RESEARCH_REPORT 6.9 + references 8-14</t>
        </is>
      </c>
    </row>
  </sheetData>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C24"/>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2" min="1" max="1"/>
    <col width="54" customWidth="1" style="12" min="2" max="2"/>
    <col width="46" customWidth="1" style="12" min="3" max="3"/>
  </cols>
  <sheetData>
    <row r="1" ht="25.5" customHeight="1" s="13">
      <c r="A1" s="14" t="inlineStr">
        <is>
          <t>8. Influence Tracker - the thesis method on our data [1]</t>
        </is>
      </c>
    </row>
    <row r="3" ht="15" customHeight="1" s="13">
      <c r="A3" s="17" t="inlineStr">
        <is>
          <t>Component</t>
        </is>
      </c>
      <c r="B3" s="17" t="inlineStr">
        <is>
          <t>Implementation</t>
        </is>
      </c>
      <c r="C3" s="17" t="inlineStr">
        <is>
          <t>Thesis grounding</t>
        </is>
      </c>
    </row>
    <row r="4" ht="35.05" customHeight="1" s="13">
      <c r="A4" s="20" t="inlineStr">
        <is>
          <t>Call extraction</t>
        </is>
      </c>
      <c r="B4" s="15" t="inlineStr">
        <is>
          <t>Every authored post/comment mentioning a ticker with |VADER| &gt;= 0.20 = a directional CALL (author, date, ticker, +/-1, stance strength). Neutral chatter is not a call.</t>
        </is>
      </c>
      <c r="C4" s="15" t="inlineStr">
        <is>
          <t>Thesis extracts forecasts with an LLM (macro-F1 0.78); we use the project's lexicon scorer - same taxonomy (explicit + implied direction), upgrade path on sheet 11.</t>
        </is>
      </c>
    </row>
    <row r="5" ht="46.25" customHeight="1" s="13">
      <c r="A5" s="18" t="inlineStr">
        <is>
          <t>Volatility-scaled judging</t>
        </is>
      </c>
      <c r="B5" s="19" t="inlineStr">
        <is>
          <t>Correct iff the 20d move clears tau = max(3%, 0.5 x sigma_90d) for THAT name; abnormal-return z vs the name's own trailing 90d distribution; ENHANCED correct = direction right AND &gt;= 1 sigma abnormal.</t>
        </is>
      </c>
      <c r="C5" s="19" t="inlineStr">
        <is>
          <t>Thesis sec 4.5: tau = max(tau0, 0.5 sigma) - one fixed bar would misgrade an index ETF and a meme stock with the same ruler. Same construction, domain-scaled (3% floor on 20d equity moves vs 0.25% hourly crypto).</t>
        </is>
      </c>
    </row>
    <row r="6" ht="46.25" customHeight="1" s="13">
      <c r="A6" s="20" t="inlineStr">
        <is>
          <t>Usefulness scores</t>
        </is>
      </c>
      <c r="B6" s="15" t="inlineStr">
        <is>
          <t>s_conf = stance-weighted accuracy (shrink a=10); s_z = x w(z), w(z)=clip(1+|z|, 0.1, 2.0) (a=5); s_enh = stance-weighted enhanced accuracy (a=10). Min-max normalise, COMPOSITE = 0.4/0.4/0.2, HIGH tier &gt;= 0.66.</t>
        </is>
      </c>
      <c r="C6" s="15" t="inlineStr">
        <is>
          <t>Thesis sec 4.6 verbatim: the exact weights, shrinkage strengths (z shrinks less - a big-|z| hit is itself evidence) and tier cutoff. Stance magnitude stands in for the thesis's LLM confidence field.</t>
        </is>
      </c>
    </row>
    <row r="7" ht="68.65000000000001" customHeight="1" s="13">
      <c r="A7" s="18" t="inlineStr">
        <is>
          <t>Interaction graph</t>
        </is>
      </c>
      <c r="B7" s="19" t="inlineStr">
        <is>
          <t>Undirected weighted author graph from reply edges (comment-&gt;comment via parent ids AND comment-&gt;post via link ids); bot filters: edge weight cap 100, broadcast accounts (&gt;1000 comments / &gt;100 posts) excluded, star-topology filter on graphs &gt;= 50 nodes; degree, weighted degree, PageRank (power iteration, d=0.85).</t>
        </is>
      </c>
      <c r="C7" s="19" t="inlineStr">
        <is>
          <t>Thesis ch 4-5: same construction + cleaning table. Its ablation found PageRank the single most beneficial structural feature and raw degree HARMFUL - so the board never ranks by size.</t>
        </is>
      </c>
    </row>
    <row r="8" ht="57.45" customHeight="1" s="13">
      <c r="A8" s="20" t="inlineStr">
        <is>
          <t>Loud-but-wrong flag</t>
        </is>
      </c>
      <c r="B8" s="15" t="inlineStr">
        <is>
          <t>Top-quartile PageRank AND below-median composite.</t>
        </is>
      </c>
      <c r="C8" s="15" t="inlineStr">
        <is>
          <t>The thesis's false-positive profile made a column: its FP group had 3x the degree, 2x the PageRank and 40.2% accuracy vs 79.2% for the quiet true positives - the accounts a 'follow the big names' desk copies, and the evidence says to fade.</t>
        </is>
      </c>
    </row>
    <row r="9" ht="23.85" customHeight="1" s="13">
      <c r="A9" s="18" t="inlineStr">
        <is>
          <t>Boom/bust record</t>
        </is>
      </c>
      <c r="B9" s="19" t="inlineStr">
        <is>
          <t>Bearish calls inside [peak-30d, peak+5d] of a confirmed euphoria top = 'called the top'; bullish there = 'bought the top'.</t>
        </is>
      </c>
      <c r="C9" s="19" t="inlineStr">
        <is>
          <t>Connects the tracker to the project's aim: WHO calls tops is the actionable output.</t>
        </is>
      </c>
    </row>
    <row r="10" ht="68.65000000000001" customHeight="1" s="13">
      <c r="A10" s="20" t="inlineStr">
        <is>
          <t>Storage decision (REVERSED July 2026)</t>
        </is>
      </c>
      <c r="B10" s="15" t="inlineStr">
        <is>
          <t>The store is now COMMITTED: pseudonymous public author ids, text-free by a hard write-time check (FORBIDDEN-columns), one shared leaderboard both machines extend; only the per-machine ingest ledger stays local. Every update_data.py run extends the store incrementally (per-file ledger: only NEW raw files are parsed).</t>
        </is>
      </c>
      <c r="C10" s="15" t="inlineStr">
        <is>
          <t>Thesis ethics sec 8.3.2 rationale: public pseudonymous identifiers used solely as node ids; no private data collected. Desk decision so live data keeps building one shared record.</t>
        </is>
      </c>
    </row>
    <row r="12">
      <c r="A12" s="31" t="inlineStr">
        <is>
          <t>How the tab is READ - display decisions (2026-07-27 re-cut, after the desk said 'I still dont get it')</t>
        </is>
      </c>
      <c r="B12" s="31" t="n"/>
      <c r="C12" s="31" t="n"/>
    </row>
    <row r="13">
      <c r="A13" s="17" t="inlineStr">
        <is>
          <t>Decision</t>
        </is>
      </c>
      <c r="B13" s="17" t="inlineStr">
        <is>
          <t>What ships</t>
        </is>
      </c>
      <c r="C13" s="17" t="inlineStr">
        <is>
          <t>Class and reason</t>
        </is>
      </c>
    </row>
    <row r="14">
      <c r="A14" s="18" t="inlineStr">
        <is>
          <t>Section ORDER: exhibits first, board fourth (2026-07-27)</t>
        </is>
      </c>
      <c r="B14" s="19" t="inlineStr">
        <is>
          <t>The tab opens with what the panel is PUSHING (bubble chart), then week by week, then who is behind one name, and only then the board of authors; the map and the two contrarian boards follow. It used to open with a list of usernames.</t>
        </is>
      </c>
      <c r="C14" s="19" t="inlineStr">
        <is>
          <t>DESK DECISION. A PM does not trade a list of accounts, they trade positioning - so the board sits under the exhibits it is the evidence for. No computation changed; ordering only.</t>
        </is>
      </c>
    </row>
    <row r="15">
      <c r="A15" s="18" t="inlineStr">
        <is>
          <t>Unit: influence 0-100 instead of the raw composite (2026-07-27)</t>
        </is>
      </c>
      <c r="B15" s="19" t="inlineStr">
        <is>
          <t>influence_index(board) = 100 x composite / composite.max(); the real store's max is 0.9854740019093133. The raw min-max composite is no longer printed anywhere on the tab, nor is the HIGH-tier cut (&gt;=0.66).</t>
        </is>
      </c>
      <c r="C15" s="19" t="inlineStr">
        <is>
          <t>DERIVED, and rank-identical. A positive rescaling cannot reorder anything, so no conclusion moved. Reason for the change is measured desk feedback: '0.987' printed next to a tier boundary reads as an accuracy, which it is not.</t>
        </is>
      </c>
    </row>
    <row r="16">
      <c r="A16" s="18" t="inlineStr">
        <is>
          <t>Unit: backing as a SHARE of the room's conviction (2026-07-27)</t>
        </is>
      </c>
      <c r="B16" s="19" t="inlineStr">
        <is>
          <t>backing_share = 100 x weighted_voices / sum(weighted_voices), bounded 0-100 and additive. Measured 30d cross-section, 51 names: MSFT 26.10%, ADBE 7.05, FICO 4.82, INTU 4.04, MELI 3.58, tail STRC 0.17.</t>
        </is>
      </c>
      <c r="C16" s="19" t="inlineStr">
        <is>
          <t>DERIVED. A bare sum ('3.42') has no unit and cannot be compared between two windows or two names; a share can be spoken aloud, is immune to the long tail, and sums to a checkable 100.</t>
        </is>
      </c>
    </row>
    <row r="17">
      <c r="A17" s="18" t="inlineStr">
        <is>
          <t>REJECTED: backing as a MULTIPLE of the median name, and the A1 analogy WITHDRAWN (2026-07-27)</t>
        </is>
      </c>
      <c r="B17" s="19" t="inlineStr">
        <is>
          <t>backing_ratio = weighted / median(weighted) was built, measured and removed. Week to 2026-06-28: 163 names, median backing 0.24, so MSFT printed 141x. Weekly maxima 141x / 41x / 2.7x / 14x / 26x at 30d and 171x at 90d; with authors=None the median is exactly 0 and every ratio returned NaN.</t>
        </is>
      </c>
      <c r="C17" s="19" t="inlineStr">
        <is>
          <t>REJECTED ON DATA. It was justified as mirroring the euphoria detector's A1 convention ('2x its own 120d median'). That argument is formally withdrawn: A1 anchors a name to ITS OWN history, a stable reference, whereas the median NAME in a cross-section is a ticker mentioned once by one person. Kept in this register because it was a recorded encoding decision before it was a rejected one.</t>
        </is>
      </c>
    </row>
    <row r="18">
      <c r="A18" s="18" t="inlineStr">
        <is>
          <t>The reference line is DERIVED, not chosen (2026-07-27)</t>
        </is>
      </c>
      <c r="B18" s="19" t="inlineStr">
        <is>
          <t>even_share(n) = 100 / n - what each name would show if attention were split evenly. 2.0% across the 51 names in the 30d window, against MSFT's 26.1%, i.e. thirteen times an even share. Drawn per-week on the time chart, once on the cross-section. Replaces a 1.0x median hairline.</t>
        </is>
      </c>
      <c r="C18" s="19" t="inlineStr">
        <is>
          <t>DERIVED from the count of names in the window, so there is no number to defend. This is the project's standing rule applied to a chart annotation: no arbitrary thresholds, including visual ones.</t>
        </is>
      </c>
    </row>
    <row r="19">
      <c r="A19" s="18" t="inlineStr">
        <is>
          <t>The share DENOMINATOR is fixed before any filter (2026-07-27)</t>
        </is>
      </c>
      <c r="B19" s="19" t="inlineStr">
        <is>
          <t>Both crowding_history (before the ticker filter) and fig_influence_bubbles (before head(top_n)) compute the share and the even-split line over the WHOLE window. The figure now receives the full digest plus top_n rather than an already-truncated frame.</t>
        </is>
      </c>
      <c r="C19" s="19" t="inlineStr">
        <is>
          <t>BUG FIX, found by screenshotting the rendered chart. The chart printed MSFT at 29.5% (30 drawn names) while the KPI one row above printed 26.10% (51 names in the window), and the even line read 100/30 = 3.3% instead of 100/51 = 2.0%. One quantity cannot have two values on one screen. The dropped tail still counts in the denominator - that is the point of a share.</t>
        </is>
      </c>
    </row>
    <row r="20">
      <c r="A20" s="18" t="inlineStr">
        <is>
          <t>Time panels use ALL recorded voices, not the top-N panel (2026-07-27)</t>
        </is>
      </c>
      <c r="B20" s="19" t="inlineStr">
        <is>
          <t>The weekly tilt and per-name share history are computed over all 340 authors with &gt;=5 judged calls, independent of the panel_n slider. Top-25 weeks held 124, 25, 1, 23, 9 calls (the 1-call week is one name at 100% by definition) against 733, 404, 23, 98, 155 calls over 14-171 names for the full pool.</t>
        </is>
      </c>
      <c r="C20" s="19" t="inlineStr">
        <is>
          <t>DERIVED from what a time series IS: a series whose population changes when a display slider moves is not comparable week to week. Measured counts are recorded here because they are the reason, not an illustration of it.</t>
        </is>
      </c>
    </row>
    <row r="21">
      <c r="A21" s="18" t="inlineStr">
        <is>
          <t>Thin weeks are ENCODED, never gated (2026-07-27)</t>
        </is>
      </c>
      <c r="B21" s="19" t="inlineStr">
        <is>
          <t>Tilt-marker area is proportional to n_calls (sizemode='area', sizeref=2.0*cmax/20^2, sizemin=4). No week is dropped and no minimum call count exists.</t>
        </is>
      </c>
      <c r="C21" s="19" t="inlineStr">
        <is>
          <t>Standing project rule: encode evidence, do not gate on it. A minimum-calls filter would be exactly the arbitrary threshold the desk has ruled out; a small dot says 'thin week' honestly and lets the reader decide.</t>
        </is>
      </c>
    </row>
    <row r="22">
      <c r="A22" s="18" t="inlineStr">
        <is>
          <t>Label de-collision: the ONLY pixel-level rule on this project (2026-07-27)</t>
        </is>
      </c>
      <c r="B22" s="19" t="inlineStr">
        <is>
          <t>dashboard._thin_labels suppresses a ticker label only when its box overlaps an already-placed one in BOTH directions; the weekly chart instead NUDGES end-of-line names apart as annotations. Gaps derived from geometry: 13px = one 10pt line box at 1.3 leading, 30px = a four-character ticker's width. Greedy in descending y; ties resolve to the earlier (better-backed) row.</t>
        </is>
      </c>
      <c r="C22" s="19" t="inlineStr">
        <is>
          <t>PERMITTED because it is a rule about INK, not about DATA: every point is still drawn, still hovers, and still appears in the exact-numbers table, so nothing decides which names MATTER. Fenced by five unit tests in TestChartLabelLayout so it stays the only one. Triggered by INTU (4.04%) and MELI (3.58%) sitting 0.46pp = ~9px apart when a 10pt label needs 13px, and by MSTR/ADBE both ending near 0.3% as one illegible smear.</t>
        </is>
      </c>
    </row>
    <row r="23">
      <c r="A23" s="18" t="inlineStr">
        <is>
          <t>REMOVED: fig_consensus (2026-07-27)</t>
        </is>
      </c>
      <c r="B23" s="19" t="inlineStr">
        <is>
          <t>The stand-alone consensus bar chart is deleted. It plotted the same per-ticker consensus the bubble chart carries on its x-axis, with the bubble chart's y-axis folded into bar opacity - its own docstring said so.</t>
        </is>
      </c>
      <c r="C23" s="19" t="inlineStr">
        <is>
          <t>Redundant exhibit. Its ENCODING decision is retained deliberately (bar length = direction, bar fade = weight of evidence, because bar length saturates at three agreeing voices) so the reasoning survives the chart, per the standing rule that anything used for a decision is recorded even after deletion.</t>
        </is>
      </c>
    </row>
    <row r="24">
      <c r="A24" s="18" t="inlineStr">
        <is>
          <t>REMOVED FROM DISPLAY: per-author hit rate (2026-07-27)</t>
        </is>
      </c>
      <c r="B24" s="19" t="inlineStr">
        <is>
          <t>No hit rate is shown for any individual author anywhere on the tab; the board shows influence 0-100 and each author's tickers. The stored hit_rate column in author_scores.parquet is UNCHANGED and a schema test asserts it, and analytics/influence.py still computes it.</t>
        </is>
      </c>
      <c r="C24" s="19" t="inlineStr">
        <is>
          <t>DESK DECISION ('dont include hit rate for users just show their influence and their stock tickers'), and it agrees with the measured limitation: per-author hit rates at n&gt;=5 judged calls are too thin to read as skill, and the cohort split shows the record does not generalise to unseen authors anyway.</t>
        </is>
      </c>
    </row>
  </sheetData>
  <mergeCells count="1">
    <mergeCell ref="A1:C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22" customWidth="1" style="13" min="1" max="1"/>
    <col width="52" customWidth="1" style="13" min="2" max="2"/>
    <col width="46" customWidth="1" style="13" min="3" max="3"/>
    <col width="40" customWidth="1" style="13" min="4" max="4"/>
  </cols>
  <sheetData>
    <row r="1">
      <c r="A1" s="27" t="inlineStr">
        <is>
          <t>8b. Influential-users MODEL - thesis chapter 6 ported to the live store (notebook 05)</t>
        </is>
      </c>
    </row>
    <row r="3">
      <c r="A3" s="28" t="inlineStr">
        <is>
          <t>Item</t>
        </is>
      </c>
      <c r="B3" s="28" t="inlineStr">
        <is>
          <t>Decision / result</t>
        </is>
      </c>
      <c r="C3" s="28" t="inlineStr">
        <is>
          <t>Derivation</t>
        </is>
      </c>
      <c r="D3" s="28" t="inlineStr">
        <is>
          <t>Evidence</t>
        </is>
      </c>
    </row>
    <row r="4">
      <c r="A4" s="29" t="inlineStr">
        <is>
          <t>Question</t>
        </is>
      </c>
      <c r="B4" s="29" t="inlineStr">
        <is>
          <t>Can HIGH-predictive authors be identified from behaviour + graph position BEFORE reading their track record? (The thesis's core contribution.)</t>
        </is>
      </c>
      <c r="C4" s="29" t="inlineStr">
        <is>
          <t>Thesis ch.3+6: semi-supervised node classification under class imbalance.</t>
        </is>
      </c>
      <c r="D4" s="29" t="inlineStr">
        <is>
          <t>notebooks/05; analytics/influence_ml.py</t>
        </is>
      </c>
    </row>
    <row r="5">
      <c r="A5" s="29" t="inlineStr">
        <is>
          <t>Labels</t>
        </is>
      </c>
      <c r="B5" s="29" t="inlineStr">
        <is>
          <t>HIGH tier = composite &gt;= 0.66 among authors with &gt;= 1 judged call; others stay as unlabelled graph context.</t>
        </is>
      </c>
      <c r="C5" s="29" t="inlineStr">
        <is>
          <t>Composite already implemented verbatim from thesis 4.6 in influence.py.</t>
        </is>
      </c>
      <c r="D5" s="29" t="inlineStr">
        <is>
          <t>influence.py HIGH_TIER</t>
        </is>
      </c>
    </row>
    <row r="6">
      <c r="A6" s="29" t="inlineStr">
        <is>
          <t>Leakage guard</t>
        </is>
      </c>
      <c r="B6" s="29" t="inlineStr">
        <is>
          <t>composite, s_conf/s_z/s_enh, hit_rate, tier NEVER used as features.</t>
        </is>
      </c>
      <c r="C6" s="29" t="inlineStr">
        <is>
          <t>Thesis 6.2: labelling-pipeline features excluded to prevent leakage.</t>
        </is>
      </c>
      <c r="D6" s="29" t="inlineStr">
        <is>
          <t>influence_ml.py LEAKAGE set + assert</t>
        </is>
      </c>
    </row>
    <row r="7">
      <c r="A7" s="29" t="inlineStr">
        <is>
          <t>Models</t>
        </is>
      </c>
      <c r="B7" s="29" t="inlineStr">
        <is>
          <t>random | feature-only MLP | structure-only LabelProp | sage_lite (one GraphSAGE mean-aggregation layer).</t>
        </is>
      </c>
      <c r="C7" s="29" t="inlineStr">
        <is>
          <t>Scaled to label supply: thesis's own GNNs reached ~12% precision on 133 positives - bigger models memorise.</t>
        </is>
      </c>
      <c r="D7" s="29" t="inlineStr">
        <is>
          <t>thesis Table 7.1 benchmark: GraphSAGE AP 0.140, AUROC 0.632</t>
        </is>
      </c>
    </row>
    <row r="8">
      <c r="A8" s="29" t="inlineStr">
        <is>
          <t>Discipline</t>
        </is>
      </c>
      <c r="B8" s="29" t="inlineStr">
        <is>
          <t>Stratified 60/20/20, seeds 42/100/2026, class weights, threshold = max precision s.t. recall &gt;= 0.05 on validation, AP+AUROC on test; category ablation + random/DICE graph perturbation.</t>
        </is>
      </c>
      <c r="C8" s="29" t="inlineStr">
        <is>
          <t>Thesis 6.2 + 7.2, kept exactly.</t>
        </is>
      </c>
      <c r="D8" s="29" t="inlineStr">
        <is>
          <t>influence_ml.py evaluate/ablate/perturb</t>
        </is>
      </c>
    </row>
    <row r="9">
      <c r="A9" s="29" t="inlineStr">
        <is>
          <t>Status</t>
        </is>
      </c>
      <c r="B9" s="29" t="inlineStr">
        <is>
          <t>CONCLUDED 2026-07-27. Store matured (5,071 authors with &gt;=1 judged call; 107k accounts / 259k reply edges raw); notebook 05 executed clean and its verdict now feeds the dashboard's influence tab.</t>
        </is>
      </c>
      <c r="C9" s="29" t="inlineStr">
        <is>
          <t>Supersedes the STANDING EXPERIMENT status: the maturity criterion below was met (237 positives under the shipped label regime).</t>
        </is>
      </c>
      <c r="D9" s="29" t="inlineStr">
        <is>
          <t>notebooks/05_influence_users_model.ipynb; docs/research/nb05_influence.json</t>
        </is>
      </c>
    </row>
    <row r="10">
      <c r="A10" s="29" t="inlineStr">
        <is>
          <t>Maturity criterion</t>
        </is>
      </c>
      <c r="B10" s="29" t="inlineStr">
        <is>
          <t>Model outputs become decision-grade only at &gt;= 130 labelled positives (the scale where the thesis's best model still only reached ~12% operating precision). Until then: research companion, never a desk ranking.</t>
        </is>
      </c>
      <c r="C10" s="29" t="inlineStr">
        <is>
          <t>Pre-stated NOW, before the store is big - no moving goalposts later.</t>
        </is>
      </c>
      <c r="D10" s="29" t="inlineStr">
        <is>
          <t>NB05 verdict cell</t>
        </is>
      </c>
    </row>
    <row r="11">
      <c r="A11" s="29" t="inlineStr">
        <is>
          <t>Model bank (final)</t>
        </is>
      </c>
      <c r="B11" s="29" t="inlineStr">
        <is>
          <t>Eight architectures per thesis 6.1: random floor | logit | mlp | label_prop | gcn_lite | sage_lite | mixhop_lite | h2gcn_lite. GAT deliberately NOT ported.</t>
        </is>
      </c>
      <c r="C11" s="29" t="inlineStr">
        <is>
          <t>GAT's attention must LEARN per-edge weights; ~250 positives cannot support it, so mixhop_lite is the named small-data stand-in. Refusing a layer we cannot train is itself the decision.</t>
        </is>
      </c>
      <c r="D11" s="29" t="inlineStr">
        <is>
          <t>notebooks/05 section 6 tournament; influence_ml.py FULL bank</t>
        </is>
      </c>
    </row>
    <row r="12">
      <c r="A12" s="29" t="inlineStr">
        <is>
          <t>Label regime shipped</t>
        </is>
      </c>
      <c r="B12" s="29" t="inlineStr">
        <is>
          <t>'softened' (237 positives). Strict = 25 positives (not powered); prevalence = 354.</t>
        </is>
      </c>
      <c r="C12" s="29" t="inlineStr">
        <is>
          <t>The strictest definition that clears the &gt;=130-positive maturity bar. All three regimes reported side by side (thesis 7.1.2 labelling sensitivity).</t>
        </is>
      </c>
      <c r="D12" s="29" t="inlineStr">
        <is>
          <t>notebooks/05 section 4; nb05_influence.json label_regimes</t>
        </is>
      </c>
    </row>
    <row r="13">
      <c r="A13" s="29" t="inlineStr">
        <is>
          <t>SHIPPED model</t>
        </is>
      </c>
      <c r="B13" s="29" t="inlineStr">
        <is>
          <t>logit on the 17-feature FULL_BANK. AP 0.0977 +/- 0.0242 vs random floor 0.0467; AUROC 0.6681; pooled precision 0.1176 (thesis SAGE: 0.140).</t>
        </is>
      </c>
      <c r="C13" s="29" t="inlineStr">
        <is>
          <t>Adoption ladder under the paired 10-seed AP rule: random-&gt;logit +0.0464, CI [+0.0334,+0.0593], 10/10 seeds. Parsimony then stops there.</t>
        </is>
      </c>
      <c r="D13" s="29" t="inlineStr">
        <is>
          <t>notebooks/05 section 7; assert shipped == influence_ml.BEST_MODEL</t>
        </is>
      </c>
    </row>
    <row r="14">
      <c r="A14" s="29" t="inlineStr">
        <is>
          <t>Every GRAPH layer REJECTED</t>
        </is>
      </c>
      <c r="B14" s="29" t="inlineStr">
        <is>
          <t>mixhop +0.0011 CI [-0.0063,+0.0085]; sage_lite -0.0035; h2gcn -0.0078 CI [-0.0130,-0.0026] (significantly WORSE); gcn -0.0132; mlp -0.0326.</t>
        </is>
      </c>
      <c r="C14" s="29" t="inlineStr">
        <is>
          <t>ci_lo &gt; 0 or the floor ships. No graph rung's interval cleared zero; one was significantly negative.</t>
        </is>
      </c>
      <c r="D14" s="29" t="inlineStr">
        <is>
          <t>notebooks/05 section 7 adoption ladder</t>
        </is>
      </c>
    </row>
    <row r="15">
      <c r="A15" s="29" t="inlineStr">
        <is>
          <t>WHY the graph fails (measured)</t>
        </is>
      </c>
      <c r="B15" s="29" t="inlineStr">
        <is>
          <t>Positive-class node homophily 0.0948 vs negative 0.9628 (thesis: 0.08 / 0.93). DICE perturbation RAISES AP: 0.1031 -&gt; 0.1528 -&gt; 0.1671 -&gt; 0.1884 -&gt; 0.2063 at 0/10/20/30/50% corruption, while accuracy falls 0.9343 -&gt; 0.8883. Random rewiring only mildly degrades (-&gt; 0.0978).</t>
        </is>
      </c>
      <c r="C15" s="29" t="inlineStr">
        <is>
          <t>Good callers do not cluster, so message-passing averages their signal away - the diagnosis is measured, not asserted, and it replicates the thesis's direction (7.2).</t>
        </is>
      </c>
      <c r="D15" s="29" t="inlineStr">
        <is>
          <t>notebooks/05 sections 3.6, 11, 12; nb05_influence.json homophily / perturbation</t>
        </is>
      </c>
    </row>
    <row r="16">
      <c r="A16" s="29" t="inlineStr">
        <is>
          <t>Circularity priced and REFUSED</t>
        </is>
      </c>
      <c r="B16" s="29" t="inlineStr">
        <is>
          <t>mean_conf and stance_sd excluded (SCORE_ADJACENT). Including them lifts AP 0.1004 -&gt; 0.1987: mean_diff +0.0983, CI [+0.0834,+0.1132], 10/10 seeds.</t>
        </is>
      </c>
      <c r="C16" s="29" t="inlineStr">
        <is>
          <t>mean_conf is an arithmetic factor of its own target. The cost of honesty is recorded rather than quietly avoided.</t>
        </is>
      </c>
      <c r="D16" s="29" t="inlineStr">
        <is>
          <t>notebooks/05 section 5 circularity audit</t>
        </is>
      </c>
    </row>
    <row r="17">
      <c r="A17" s="29" t="inlineStr">
        <is>
          <t>Multiple-comparison discipline</t>
        </is>
      </c>
      <c r="B17" s="29" t="inlineStr">
        <is>
          <t>Bonferroni within a round: 6 pre-stated bank candidates -&gt; conf 1 - 0.05/6 = 0.99167. One re-test round only, declared before the round ran. ADOPTED: NULL.</t>
        </is>
      </c>
      <c r="C17" s="29" t="inlineStr">
        <is>
          <t>Of the six, only 'drop behavioural family' cleared zero at 95% (+0.0076, CI [+0.0023,+0.0128]); it did not survive correction.</t>
        </is>
      </c>
      <c r="D17" s="29" t="inlineStr">
        <is>
          <t>notebooks/05 section 11.1; nb05_influence.json bonferroni</t>
        </is>
      </c>
    </row>
    <row r="18">
      <c r="A18" s="29" t="inlineStr">
        <is>
          <t>Significance</t>
        </is>
      </c>
      <c r="B18" s="29" t="inlineStr">
        <is>
          <t>200-permutation label shuffle: AP 0.1257 vs null mean 0.0521, null p95 0.0705 -&gt; p = 0.005 (the reportable floor at 200 draws).</t>
        </is>
      </c>
      <c r="C18" s="29" t="inlineStr">
        <is>
          <t>Thesis-style permutation test; the floor is stated as a floor, not rounded to 0.</t>
        </is>
      </c>
      <c r="D18" s="29" t="inlineStr">
        <is>
          <t>notebooks/05 section 14</t>
        </is>
      </c>
    </row>
    <row r="19">
      <c r="A19" s="29" t="inlineStr">
        <is>
          <t>DECISIVE limitation: no generalisation</t>
        </is>
      </c>
      <c r="B19" s="29" t="inlineStr">
        <is>
          <t>On a tenure/cohort split (unseen authors) the shipped model sits AT the random floor: logit AP 0.0461 vs random 0.0483 (lift -0.046); sage_lite 0.0410 (lift -0.150).</t>
        </is>
      </c>
      <c r="C19" s="29" t="inlineStr">
        <is>
          <t>The one thing a model would be FOR - scoring a newcomer before they have a record - is exactly what it cannot do. Not a tuning gap; a stated negative result.</t>
        </is>
      </c>
      <c r="D19" s="29" t="inlineStr">
        <is>
          <t>notebooks/05 section 15 cohort split</t>
        </is>
      </c>
    </row>
    <row r="20">
      <c r="A20" s="29" t="inlineStr">
        <is>
          <t>Consequence for the product</t>
        </is>
      </c>
      <c r="B20" s="29" t="inlineStr">
        <is>
          <t>The dashboard's influence tab ranks authors by their MEASURED composite and is labelled INFORMATION ONLY; the model ships as a research exhibit, not a scorer. Nothing on the tab feeds the euphoria level or the GET IN / GET OUT alerts.</t>
        </is>
      </c>
      <c r="C20" s="29" t="inlineStr">
        <is>
          <t>Follows directly from the cohort result above. Board shows authors with &gt;=5 judged calls (a record needs a record); the map covers the wider scored pool and says so.</t>
        </is>
      </c>
      <c r="D20" s="29" t="inlineStr">
        <is>
          <t>dashboard.py influence tab; docs/ARCHITECTURE.md 8</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C10"/>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2" min="1" max="1"/>
    <col width="52" customWidth="1" style="12" min="2" max="2"/>
    <col width="44" customWidth="1" style="12" min="3" max="3"/>
  </cols>
  <sheetData>
    <row r="1" ht="25.5" customHeight="1" s="13">
      <c r="A1" s="14" t="inlineStr">
        <is>
          <t>9. Legacy decisions (pre-pivot, all evidence retained)</t>
        </is>
      </c>
    </row>
    <row r="3" ht="15" customHeight="1" s="13">
      <c r="A3" s="17" t="inlineStr">
        <is>
          <t>Decision</t>
        </is>
      </c>
      <c r="B3" s="17" t="inlineStr">
        <is>
          <t>Evidence</t>
        </is>
      </c>
      <c r="C3" s="17" t="inlineStr">
        <is>
          <t>Status</t>
        </is>
      </c>
    </row>
    <row r="4" ht="68.65000000000001" customHeight="1" s="13">
      <c r="A4" s="20" t="inlineStr">
        <is>
          <t>BUY/SELL engine retired from the dashboard</t>
        </is>
      </c>
      <c r="B4" s="15" t="inlineStr">
        <is>
          <t>It is the ORIGINAL RetailFlow1 logic, unchanged (verified by diffing signal files - only anchor-less 'cannabis' differs). Scoring RetailFlow1's OWN file on real closes: BUY = -1.42%/trade over 2021-2026; per-year +6.3 / -11.1 / -3.0 / +1.7 / -1.3 / +0.4. The old report cards were window-clipped - recent windows FELT good; full history was negative.</t>
        </is>
      </c>
      <c r="C4" s="15" t="inlineStr">
        <is>
          <t>Retired from the dashboard July 2026; remains in analytics/ for research. Window-start alone (trailing-365d -&gt; Jan-2026) moved the scorecard +4.4% -&gt; +1.6% with zero model change.</t>
        </is>
      </c>
    </row>
    <row r="5" ht="57.45" customHeight="1" s="13">
      <c r="A5" s="18" t="inlineStr">
        <is>
          <t>Conviction display: EWM baseline (halflife 42d)</t>
        </is>
      </c>
      <c r="B5" s="19" t="inlineStr">
        <is>
          <t>Chosen on real prices: long its own +2.5 up-crossings, 20d hold = +1.36%/trade, 63% hit, 299 trades, +0.78% above unconditional drift, positive 5/6 years; stable across halflife 28/42/60 and holds 10/20/30 (a plateau, not a spike). Re-centres within weeks after coverage shocks.</t>
        </is>
      </c>
      <c r="C5" s="19" t="inlineStr">
        <is>
          <t>KEPT for the conviction tab. The signal ENGINE keeps its original rolling-84 construction (EWM inside the engine was worse: -1.80 vs -0.93%/trade).</t>
        </is>
      </c>
    </row>
    <row r="6" ht="35.05" customHeight="1" s="13">
      <c r="A6" s="20" t="inlineStr">
        <is>
          <t>Grey reversion-exit markers</t>
        </is>
      </c>
      <c r="B6" s="15" t="inlineStr">
        <is>
          <t>Exit on z-reversion: +0.83%/trade in ~10d vs +1.36% in 20d = 0.080 vs 0.065 %/DAY - capital works ~2x as often. On the engine's own BUYs, cuts -1.42% to -1.03%/trade.</t>
        </is>
      </c>
      <c r="C6" s="15" t="inlineStr">
        <is>
          <t>KEPT (charts + REVERTED hints). Official scorecard still accounts fixed 20d holds.</t>
        </is>
      </c>
    </row>
    <row r="7" ht="23.85" customHeight="1" s="13">
      <c r="A7" s="18" t="inlineStr">
        <is>
          <t>Shorts from conviction: rejected</t>
        </is>
      </c>
      <c r="B7" s="19" t="inlineStr">
        <is>
          <t>Every construction loses (down-cross -1.33%/trade; post-peak -0.67; shallow -0.30; at best 2/6 years positive).</t>
        </is>
      </c>
      <c r="C7" s="19" t="inlineStr">
        <is>
          <t>Retail conviction fading = EXIT timing, not short entry - which is what the grey markers implement.</t>
        </is>
      </c>
    </row>
    <row r="8" ht="35.05" customHeight="1" s="13">
      <c r="A8" s="20" t="inlineStr">
        <is>
          <t>Parameters frozen</t>
        </is>
      </c>
      <c r="B8" s="15" t="inlineStr">
        <is>
          <t>All knobs in src/config.py with evidence quoted inline; daily signal snapshots are never revised - the forward record is the only true out-of-sample test.</t>
        </is>
      </c>
      <c r="C8" s="15" t="inlineStr">
        <is>
          <t>Changes require NEW out-of-sample evidence, not re-runs of the same history.</t>
        </is>
      </c>
    </row>
    <row r="9">
      <c r="A9" s="20" t="inlineStr">
        <is>
          <t>File retired: src/inflection.py (2026-07-27)</t>
        </is>
      </c>
      <c r="B9" s="15" t="inlineStr">
        <is>
          <t>The FIRST take-off detector: smooth daily mentions, take the EWMA first derivative, and flag a day when that derivative exceeds mean + k*sigma. Rejected on principle, not on a metric - k is a free parameter with no derivation, so 'why k=2 and not 2.5?' has no answer. Its own docstring shows the flaw. Superseded by (a) analytics/euphoria.py, which ranks each name against ITS OWN history by percentile so the unit is calibrated per instrument rather than by a shared sigma multiple, and (b) analytics/euphoria_phases.py, which requires a sustained change in CONVEXITY instead of a single fast day - the fix for the 1-day XLE blip. The 'bull_inflection' FEATURE in dashboard.py is unrelated and stays.</t>
        </is>
      </c>
      <c r="C9" s="15" t="inlineStr">
        <is>
          <t>REMOVED 2026-07-27 after a three-method reference audit (import regex, repo-relative path, bare filename) found zero references in 62 py files and 104 text files. sha256 5646a24fb1ab3abe... The idea it encodes is preserved here as the negative result that motivates per-name percentile ranking; no code depended on it.</t>
        </is>
      </c>
    </row>
    <row r="10">
      <c r="A10" s="20" t="inlineStr">
        <is>
          <t>File retired: helper/tune_thresholds.py (2026-07-27)</t>
        </is>
      </c>
      <c r="B10" s="15" t="inlineStr">
        <is>
          <t>The BUY/SELL threshold tuner. Method worth keeping on the record: it grid-searched (SIG_K, SIG_MIN_SCORE, SIG_COOLDOWN), re-executed the real signal engine per combo via SIG_* env overrides so there was no reimplementation drift, scored each signal by SIGNED forward return, split the history into regime ERAS, and ranked combos by their WORST-era average - robustness first, so the winner is the combo that never falls apart rather than the one that aced a single mania. That worst-era rule is the provenance of the values still shipping in src/config.py: SIG_K=2.5, SIG_MIN_SCORE=4, SIG_MIN_SCORE_SELL=4, SIG_COOLDOWN_DAYS=21.</t>
        </is>
      </c>
      <c r="C10" s="15" t="inlineStr">
        <is>
          <t>REMOVED 2026-07-27: it executes notebooks/10_trading_signals.ipynb, which no longer exists (notebooks are now 01-07), so the script fails on its first subprocess call - dead AND broken. Zero references by any of the three scan methods. sha256 51a8d0045dff09be... The four constants it produced remain live and are consumed by analytics/signals.py; this row is now their derivation of record, so they are not arbitrary numbers. To re-tune, port the worst-era protocol onto notebook 06/07.</t>
        </is>
      </c>
    </row>
  </sheetData>
  <mergeCells count="1">
    <mergeCell ref="A1:C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C1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2" min="1" max="1"/>
    <col width="52" customWidth="1" style="12" min="2" max="2"/>
    <col width="44" customWidth="1" style="12" min="3" max="3"/>
  </cols>
  <sheetData>
    <row r="1" ht="25.5" customHeight="1" s="13">
      <c r="A1" s="14" t="inlineStr">
        <is>
          <t>10. Limitations &amp; risks (the examiner's sheet)</t>
        </is>
      </c>
    </row>
    <row r="3" ht="15" customHeight="1" s="13">
      <c r="A3" s="17" t="inlineStr">
        <is>
          <t>Limitation</t>
        </is>
      </c>
      <c r="B3" s="17" t="inlineStr">
        <is>
          <t>Honest statement</t>
        </is>
      </c>
      <c r="C3" s="17" t="inlineStr">
        <is>
          <t>Mitigation / response</t>
        </is>
      </c>
    </row>
    <row r="4" ht="35.05" customHeight="1" s="13">
      <c r="A4" s="20" t="inlineStr">
        <is>
          <t>Coverage cliffs</t>
        </is>
      </c>
      <c r="B4" s="15" t="inlineStr">
        <is>
          <t>2023-25 archive coverage is thin -&gt; ZERO detectable peaks there; the detector is blind, not wrong, in those eras - and 44+34 real peaks sit outside its reach.</t>
        </is>
      </c>
      <c r="C4" s="15" t="inlineStr">
        <is>
          <t>Both denominators always reported; the comment backfill (~10x volume) is the direct fix (sheet 11).</t>
        </is>
      </c>
    </row>
    <row r="5" ht="35.05" customHeight="1" s="13">
      <c r="A5" s="18" t="inlineStr">
        <is>
          <t>Reddit-only capture cost</t>
        </is>
      </c>
      <c r="B5" s="19" t="inlineStr">
        <is>
          <t>23% of detectable vs 46% for the price-assisted variant: the chart carries real information the desk chose to give up.</t>
        </is>
      </c>
      <c r="C5" s="19" t="inlineStr">
        <is>
          <t>A deliberate, documented trade for the clean claim; the price-assisted harness remains in git history if the desk ever re-decides.</t>
        </is>
      </c>
    </row>
    <row r="6" ht="35.05" customHeight="1" s="13">
      <c r="A6" s="20" t="inlineStr">
        <is>
          <t>Small event counts</t>
        </is>
      </c>
      <c r="B6" s="15" t="inlineStr">
        <is>
          <t>17 captures / 74 detectable peaks - single events move rates by ~1.4pp; per-year splits are noisier still.</t>
        </is>
      </c>
      <c r="C6" s="15" t="inlineStr">
        <is>
          <t>No decimal-level claims; ablation read at the big-movement level only; walk-forward (never pooled) evaluation.</t>
        </is>
      </c>
    </row>
    <row r="7" ht="35.05" customHeight="1" s="13">
      <c r="A7" s="18" t="inlineStr">
        <is>
          <t>Sentiment label noise</t>
        </is>
      </c>
      <c r="B7" s="19" t="inlineStr">
        <is>
          <t>VADER+lexicon mislabels sarcasm and implicit calls; the thesis measured ~15-20% forecast-extraction error even with an LLM [1].</t>
        </is>
      </c>
      <c r="C7" s="19" t="inlineStr">
        <is>
          <t>Errors average out at 28d aggregation and author-level scoring (same argument as the thesis); LLM extraction is the named upgrade (sheet 11).</t>
        </is>
      </c>
    </row>
    <row r="8" ht="35.05" customHeight="1" s="13">
      <c r="A8" s="20" t="inlineStr">
        <is>
          <t>Threshold at grid edge</t>
        </is>
      </c>
      <c r="B8" s="15" t="inlineStr">
        <is>
          <t>Recent years pick threshold 85 = the grid maximum - the utility landscape wants conservatism, so the effective trigger is the fade discount.</t>
        </is>
      </c>
      <c r="C8" s="15" t="inlineStr">
        <is>
          <t>Documented; grid deliberately NOT extended after seeing results (that would be fitting the grid to the test).</t>
        </is>
      </c>
    </row>
    <row r="9" ht="35.05" customHeight="1" s="13">
      <c r="A9" s="18" t="inlineStr">
        <is>
          <t>2021 undertrained</t>
        </is>
      </c>
      <c r="B9" s="19" t="inlineStr">
        <is>
          <t>2021's threshold is the do-no-harm default (its training years pre-date price history).</t>
        </is>
      </c>
      <c r="C9" s="19" t="inlineStr">
        <is>
          <t>Extending prices to 2017 (one command) gives 2018-20 real peaks -&gt; 2021 gets trained; numbers auto-refresh.</t>
        </is>
      </c>
    </row>
    <row r="10" ht="23.85" customHeight="1" s="13">
      <c r="A10" s="20" t="inlineStr">
        <is>
          <t>Survivorship &amp; curation</t>
        </is>
      </c>
      <c r="B10" s="15" t="inlineStr">
        <is>
          <t>Deleted posts vanish from live fetches; authors curate their history (thesis flags the same bias [1]).</t>
        </is>
      </c>
      <c r="C10" s="15" t="inlineStr">
        <is>
          <t>Arctic Shift archives shortly after posting (partial); the ingest ledger keeps first-seen records once fetched.</t>
        </is>
      </c>
    </row>
    <row r="11" ht="35.05" customHeight="1" s="13">
      <c r="A11" s="18" t="inlineStr">
        <is>
          <t>One-subreddit thesis, many-subreddit desk</t>
        </is>
      </c>
      <c r="B11" s="19" t="inlineStr">
        <is>
          <t>The thesis validated on r/CryptoMarkets; our transfer of its constants (shrinkage strengths, tier cutoff, filters) assumes they travel.</t>
        </is>
      </c>
      <c r="C11" s="19" t="inlineStr">
        <is>
          <t>Constants documented as ported (sheet 8); they set RELATIVE rankings, not absolute claims, so miscalibration degrades gracefully.</t>
        </is>
      </c>
    </row>
    <row r="12">
      <c r="A12" s="30" t="inlineStr">
        <is>
          <t>Influence model does not generalise to new authors</t>
        </is>
      </c>
      <c r="B12" s="30" t="inlineStr">
        <is>
          <t>On a tenure/cohort split the influential-users model sits at the random floor for authors it has never seen (lift -0.046). Behaviour + graph position do NOT identify a good caller before they have a record.</t>
        </is>
      </c>
      <c r="C12" s="30" t="inlineStr">
        <is>
          <t>Stated, not buried: the dashboard therefore ranks by the MEASURED record and labels the model a research exhibit. The tab is INFORMATION ONLY and feeds no signal.</t>
        </is>
      </c>
    </row>
    <row r="13">
      <c r="A13" s="30" t="inlineStr">
        <is>
          <t>Reply graph is an active liability, not a weak feature</t>
        </is>
      </c>
      <c r="B13" s="30" t="inlineStr">
        <is>
          <t>Corrupting the graph with DICE RAISES ranking quality (AP 0.1031 -&gt; 0.2063 at 50% corruption); positive-class homophily is 0.0948 vs 0.9628 for negatives.</t>
        </is>
      </c>
      <c r="C13" s="30" t="inlineStr">
        <is>
          <t>Diagnosed rather than patched: every graph layer was rejected under the CI rule and the parsimony floor (logit) ships. The direction replicates the thesis (7.2).</t>
        </is>
      </c>
    </row>
    <row r="14">
      <c r="A14" s="30" t="inlineStr">
        <is>
          <t>Influence labels are score-derived, so circularity is a standing risk</t>
        </is>
      </c>
      <c r="B14" s="30" t="inlineStr">
        <is>
          <t>The target is a tier of the same composite whose ingredients live in the store; two features (mean_conf, stance_sd) are arithmetic factors of it and would lift AP by +0.098 if used.</t>
        </is>
      </c>
      <c r="C14" s="30" t="inlineStr">
        <is>
          <t>A named LEAKAGE blacklist plus a SCORE_ADJACENT exclusion, both asserted in tests; the audit that prices the excluded features is a permanent notebook section, so the cost is visible.</t>
        </is>
      </c>
    </row>
    <row r="15">
      <c r="A15" s="30" t="inlineStr">
        <is>
          <t>Influence store is forward-only and Reddit-only</t>
        </is>
      </c>
      <c r="B15" s="30" t="inlineStr">
        <is>
          <t>The store begins at first pull - no backfill - so author records are short (median judged-call count is small) and the board needs &gt;=5 judged calls before it will rank anyone.</t>
        </is>
      </c>
      <c r="C15" s="30" t="inlineStr">
        <is>
          <t>The bar is stated on the tab; records deepen with every comment pull, and matured calls are re-judged automatically. No decimal-level claim is made about any single author.</t>
        </is>
      </c>
    </row>
  </sheetData>
  <mergeCells count="1">
    <mergeCell ref="A1:C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C9"/>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4" customWidth="1" style="12" min="1" max="1"/>
    <col width="56" customWidth="1" style="12" min="2" max="2"/>
    <col width="34" customWidth="1" style="12" min="3" max="3"/>
  </cols>
  <sheetData>
    <row r="1" ht="25.5" customHeight="1" s="13">
      <c r="A1" s="14" t="inlineStr">
        <is>
          <t>11. Next steps, ranked by expected impact</t>
        </is>
      </c>
    </row>
    <row r="3" ht="15" customHeight="1" s="13">
      <c r="A3" s="17" t="inlineStr">
        <is>
          <t>Step</t>
        </is>
      </c>
      <c r="B3" s="17" t="inlineStr">
        <is>
          <t>Why it is the biggest lever</t>
        </is>
      </c>
      <c r="C3" s="17" t="inlineStr">
        <is>
          <t>Command / owner</t>
        </is>
      </c>
    </row>
    <row r="4" ht="57.45" customHeight="1" s="13">
      <c r="A4" s="20" t="inlineStr">
        <is>
          <t>1. Comment backfill -&gt; aggregates</t>
        </is>
      </c>
      <c r="B4" s="15" t="inlineStr">
        <is>
          <t>Comments are ~10x post volume and feed EVERY euphoria ingredient; 2022-25 become detectable, capture should recover toward (and possibly past) the price-assisted 46% WITHOUT touching the Reddit-only rule. The ML challenger auto-re-runs on the richer data under the already-stated criterion.</t>
        </is>
      </c>
      <c r="C4" s="15" t="inlineStr">
        <is>
          <t>python ingestion/fetch_reddit_comments.py --backfill &lt;half-years&gt;; then fold into aggregates (external machine --full)</t>
        </is>
      </c>
    </row>
    <row r="5" ht="57.45" customHeight="1" s="13">
      <c r="A5" s="18" t="inlineStr">
        <is>
          <t>2. Prices to 2017</t>
        </is>
      </c>
      <c r="B5" s="19" t="inlineStr">
        <is>
          <t>Turns 2018-20 into real training AND test years (2018 vol shock, 2020 covid tops); 2021 stops being undertrained.</t>
        </is>
      </c>
      <c r="C5" s="19" t="inlineStr">
        <is>
          <t>PowerShell: $env:PIPELINE_START_DATE="2017-01-01"; python pull_bloomberg_prices.py; then python -m analytics.run_analytics --what euphoria</t>
        </is>
      </c>
    </row>
    <row r="6" ht="23.85" customHeight="1" s="13">
      <c r="A6" s="20" t="inlineStr">
        <is>
          <t>3. Influence store: nothing to run (live-only)</t>
        </is>
      </c>
      <c r="B6" s="15" t="inlineStr">
        <is>
          <t>Desk decision, July 2026: the store builds itself from live pulls - created from nothing on the first update_data.py run, extended on every later one, with recent calls re-judged automatically as their 20d windows mature. The two dashboards share it via git.</t>
        </is>
      </c>
      <c r="C6" s="15" t="inlineStr">
        <is>
          <t>automatic (python update_data.py)</t>
        </is>
      </c>
    </row>
    <row r="7" ht="23.85" customHeight="1" s="13">
      <c r="A7" s="18" t="inlineStr">
        <is>
          <t>4. Forward out-of-sample record</t>
        </is>
      </c>
      <c r="B7" s="19" t="inlineStr">
        <is>
          <t>The frozen rules + daily snapshots mean every week from now is TRUE out-of-sample - the only evidence that survives an examiner.</t>
        </is>
      </c>
      <c r="C7" s="19" t="inlineStr">
        <is>
          <t>Automatic; review monthly</t>
        </is>
      </c>
    </row>
    <row r="8" ht="35.05" customHeight="1" s="13">
      <c r="A8" s="20" t="inlineStr">
        <is>
          <t>5. LLM call extraction (thesis upgrade)</t>
        </is>
      </c>
      <c r="B8" s="15" t="inlineStr">
        <is>
          <t>Replace VADER stance with structured forecast extraction (direction/asset/horizon/confidence) - the thesis's biggest quality step (macro-F1 0.78, kappa 0.76) [1].</t>
        </is>
      </c>
      <c r="C8" s="15" t="inlineStr">
        <is>
          <t>Future work - needs a funded API budget</t>
        </is>
      </c>
    </row>
    <row r="9" ht="35.05" customHeight="1" s="13">
      <c r="A9" s="18" t="inlineStr">
        <is>
          <t>6. Graph features INTO euphoria</t>
        </is>
      </c>
      <c r="B9" s="19" t="inlineStr">
        <is>
          <t>New-author influx and reply-graph growth as euphoria features (crowd composition, not just size) - the thesis's structural signals applied to the timing problem.</t>
        </is>
      </c>
      <c r="C9" s="19" t="inlineStr">
        <is>
          <t>Future work - needs comments folded into the aggregate contract first</t>
        </is>
      </c>
    </row>
  </sheetData>
  <mergeCells count="1">
    <mergeCell ref="A1:C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D1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12" min="1" max="1"/>
    <col width="56" customWidth="1" style="12" min="2" max="2"/>
    <col width="30" customWidth="1" style="12" min="3" max="3"/>
    <col width="44" customWidth="1" style="12" min="4" max="4"/>
  </cols>
  <sheetData>
    <row r="1" ht="25.5" customHeight="1" s="13">
      <c r="A1" s="14" t="inlineStr">
        <is>
          <t>12. References - every paper used, and where it entered the design</t>
        </is>
      </c>
    </row>
    <row r="3" ht="15" customHeight="1" s="13">
      <c r="A3" s="17" t="inlineStr">
        <is>
          <t>[n]</t>
        </is>
      </c>
      <c r="B3" s="17" t="inlineStr">
        <is>
          <t>Reference</t>
        </is>
      </c>
      <c r="C3" s="17" t="inlineStr">
        <is>
          <t>Where used</t>
        </is>
      </c>
      <c r="D3" s="17" t="inlineStr">
        <is>
          <t>Link</t>
        </is>
      </c>
    </row>
    <row r="4" ht="91" customHeight="1" s="13">
      <c r="A4" s="20" t="inlineStr">
        <is>
          <t>[1]</t>
        </is>
      </c>
      <c r="B4" s="15" t="inlineStr">
        <is>
          <t>Chan, J. J. J. (2026). Informed Trading Decisions via Social Network Analysis: A Graph Learning Approach. M.Eng thesis, University of Oxford (supervisor: Xiaowen Dong).</t>
        </is>
      </c>
      <c r="C4" s="15" t="inlineStr">
        <is>
          <t>Influence Tracker method (sheets 8): usefulness scoring, vol-scaled judging, shrinkage constants, graph construction + bot filters, PageRank&gt;degree finding, loud-but-wrong profile; ablation methodology (sheet 6); ML-appetite warning (sheet 7).</t>
        </is>
      </c>
      <c r="D4" s="15" t="inlineStr">
        <is>
          <t>provided by the desk (PDF)</t>
        </is>
      </c>
    </row>
    <row r="5" ht="35.05" customHeight="1" s="13">
      <c r="A5" s="18" t="inlineStr">
        <is>
          <t>[2]</t>
        </is>
      </c>
      <c r="B5" s="19" t="inlineStr">
        <is>
          <t>Barber, B., Huang, X., Odean, T. &amp; Schwarz, C. (2022). Attention-Induced Trading and Returns: Evidence from Robinhood Users. Journal of Financial Economics.</t>
        </is>
      </c>
      <c r="C5" s="19" t="inlineStr">
        <is>
          <t>E1 attention extremity; gate A2 - attention extremes precede reversals.</t>
        </is>
      </c>
      <c r="D5" s="19" t="inlineStr">
        <is>
          <t>https://www.sciencedirect.com/science/article/pii/S0304405X22000964</t>
        </is>
      </c>
    </row>
    <row r="6" ht="35.05" customHeight="1" s="13">
      <c r="A6" s="20" t="inlineStr">
        <is>
          <t>[3]</t>
        </is>
      </c>
      <c r="B6" s="15" t="inlineStr">
        <is>
          <t>Sornette, D. et al. LPPLS bubble indicators over two centuries of the S&amp;P 500 index.</t>
        </is>
      </c>
      <c r="C6" s="15" t="inlineStr">
        <is>
          <t>E5 - the super-exponential (LPPLS) bubble signature.</t>
        </is>
      </c>
      <c r="D6" s="15" t="inlineStr">
        <is>
          <t>https://www.researchgate.net/publication/303204113_LPPLS_bubble_indicators_over_two_centuries_of_the_SP_500_index</t>
        </is>
      </c>
    </row>
    <row r="7" ht="46.25" customHeight="1" s="13">
      <c r="A7" s="18" t="inlineStr">
        <is>
          <t>[4]</t>
        </is>
      </c>
      <c r="B7" s="19" t="inlineStr">
        <is>
          <t>Demirer, R. et al. On the Predictability of Stock Market Bubbles: Evidence from LPPLS Confidence Multi-scale Indicators.</t>
        </is>
      </c>
      <c r="C7" s="19" t="inlineStr">
        <is>
          <t>E5 - LPPLS confidence indicators predict bubble ends out-of-sample.</t>
        </is>
      </c>
      <c r="D7" s="19" t="inlineStr">
        <is>
          <t>https://www.researchgate.net/publication/318280992_On_the_Predictability_of_Stock_Market_Bubbles_Evidence_from_LPPLS_Confidence_TM_Multi-scale_Indicators</t>
        </is>
      </c>
    </row>
    <row r="8" ht="35.05" customHeight="1" s="13">
      <c r="A8" s="20" t="inlineStr">
        <is>
          <t>[5]</t>
        </is>
      </c>
      <c r="B8" s="15" t="inlineStr">
        <is>
          <t>CEPR/VoxEU. Twitter sentiment and stock market movements: the predictive power of social media.</t>
        </is>
      </c>
      <c r="C8" s="15" t="inlineStr">
        <is>
          <t>E2/E4 - aggregate sentiment extremes as contrarian markers.</t>
        </is>
      </c>
      <c r="D8" s="15" t="inlineStr">
        <is>
          <t>https://cepr.org/voxeu/columns/twitter-sentiment-and-stock-market-movements-predictive-power-social-media</t>
        </is>
      </c>
    </row>
    <row r="9" ht="35.05" customHeight="1" s="13">
      <c r="A9" s="18" t="inlineStr">
        <is>
          <t>[6]</t>
        </is>
      </c>
      <c r="B9" s="19" t="inlineStr">
        <is>
          <t>Jame, R. et al. (2022). Echo Chambers &amp; WallStreetBets retail herding (working paper).</t>
        </is>
      </c>
      <c r="C9" s="19" t="inlineStr">
        <is>
          <t>A1 hype prerequisite + cooldown - discussion-board attention concentration and its aftermath.</t>
        </is>
      </c>
      <c r="D9" s="19" t="inlineStr">
        <is>
          <t>https://russelljame.com/wsb_3_15_2022.pdf</t>
        </is>
      </c>
    </row>
    <row r="10" ht="23.85" customHeight="1" s="13">
      <c r="A10" s="20" t="inlineStr">
        <is>
          <t>[7]</t>
        </is>
      </c>
      <c r="B10" s="15" t="inlineStr">
        <is>
          <t>arXiv:2110.06190. LPPLS bubble diagnostics applied to meme stocks (GameStop episode).</t>
        </is>
      </c>
      <c r="C10" s="15" t="inlineStr">
        <is>
          <t>E5 - the signature holds on retail-driven single names.</t>
        </is>
      </c>
      <c r="D10" s="15" t="inlineStr">
        <is>
          <t>https://ideas.repec.org/p/arx/papers/2110.06190.html</t>
        </is>
      </c>
    </row>
    <row r="11" ht="23.85" customHeight="1" s="13">
      <c r="A11" s="18" t="inlineStr">
        <is>
          <t>[8]</t>
        </is>
      </c>
      <c r="B11" s="19" t="inlineStr">
        <is>
          <t>Sornette, D. Financial Crisis Observatory / LPPLS resources.</t>
        </is>
      </c>
      <c r="C11" s="19" t="inlineStr">
        <is>
          <t>E5 background - the crash-prediction framework.</t>
        </is>
      </c>
      <c r="D11" s="19" t="inlineStr">
        <is>
          <t>https://sornette.finance/landing/</t>
        </is>
      </c>
    </row>
    <row r="12" ht="35.05" customHeight="1" s="13">
      <c r="A12" s="20" t="inlineStr">
        <is>
          <t>[9]</t>
        </is>
      </c>
      <c r="B12" s="15" t="inlineStr">
        <is>
          <t>Dumb money: social network attention herding and retail investor returns (2025). Journal of Behavioral and Experimental Finance.</t>
        </is>
      </c>
      <c r="C12" s="15" t="inlineStr">
        <is>
          <t>E1/E3 - attention herding measured on social networks predicts poor forward returns.</t>
        </is>
      </c>
      <c r="D12" s="15" t="inlineStr">
        <is>
          <t>https://www.sciencedirect.com/science/article/pii/S2405918825000212</t>
        </is>
      </c>
    </row>
    <row r="13" ht="23.85" customHeight="1" s="13">
      <c r="A13" s="18" t="inlineStr">
        <is>
          <t>[10]</t>
        </is>
      </c>
      <c r="B13" s="19" t="inlineStr">
        <is>
          <t>Reddit sentiment and equity moves - Humanities &amp; Social Sciences Communications (2024).</t>
        </is>
      </c>
      <c r="C13" s="19" t="inlineStr">
        <is>
          <t>E2 - Reddit-aggregated sentiment vs subsequent price behaviour.</t>
        </is>
      </c>
      <c r="D13" s="19" t="inlineStr">
        <is>
          <t>https://www.nature.com/articles/s41599-024-03434-2</t>
        </is>
      </c>
    </row>
    <row r="14" ht="23.85" customHeight="1" s="13">
      <c r="A14" s="20" t="inlineStr">
        <is>
          <t>[11]</t>
        </is>
      </c>
      <c r="B14" s="15" t="inlineStr">
        <is>
          <t>Social-media sentiment aggregation and market timing - Journal of Behavioral Finance (2024).</t>
        </is>
      </c>
      <c r="C14" s="15" t="inlineStr">
        <is>
          <t>E2/E4 - aggregation windows and divergence patterns.</t>
        </is>
      </c>
      <c r="D14" s="15" t="inlineStr">
        <is>
          <t>https://www.tandfonline.com/doi/full/10.1080/15427560.2024.2309145</t>
        </is>
      </c>
    </row>
    <row r="15" ht="23.85" customHeight="1" s="13">
      <c r="A15" s="18" t="inlineStr">
        <is>
          <t>[12]</t>
        </is>
      </c>
      <c r="B15" s="19" t="inlineStr">
        <is>
          <t>Bollen, J. et al. Twitter mood predicts the stock market (PLOS ONE lineage study).</t>
        </is>
      </c>
      <c r="C15" s="19" t="inlineStr">
        <is>
          <t>Background - the original social-sentiment-predicts-markets result.</t>
        </is>
      </c>
      <c r="D15" s="19" t="inlineStr">
        <is>
          <t>https://journals.plos.org/plosone/article?id=10.1371/journal.pone.0165819</t>
        </is>
      </c>
    </row>
    <row r="17" ht="23.85" customHeight="1" s="13">
      <c r="A17" s="22" t="n"/>
      <c r="B17" s="22" t="inlineStr">
        <is>
          <t>Citation style note: [3][4][7][8] retrieved via desk web research July 2026; exact author lists per the linked landing pages. The thesis [1] is unpublished - cite as 'Chan (2026), University of Oxford M.Eng thesis' in the final deck.</t>
        </is>
      </c>
      <c r="C17" s="25" t="n"/>
      <c r="D17" s="26" t="n"/>
    </row>
  </sheetData>
  <mergeCells count="2">
    <mergeCell ref="B17:D17"/>
    <mergeCell ref="A1:D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2026-07-23T07:16:55Z</dcterms:created>
  <dcterms:modified xmlns:dcterms="http://purl.org/dc/terms/" xmlns:xsi="http://www.w3.org/2001/XMLSchema-instance" xsi:type="dcterms:W3CDTF">2026-07-27T14:02:30Z</dcterms:modified>
  <cp:revision>0</cp:revision>
</cp:coreProperties>
</file>