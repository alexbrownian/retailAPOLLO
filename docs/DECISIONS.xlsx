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. Storyline" sheetId="1" state="visible" r:id="rId1"/>
    <sheet xmlns:r="http://schemas.openxmlformats.org/officeDocument/2006/relationships" name="1. Motivation &amp; Aim" sheetId="2" state="visible" r:id="rId2"/>
    <sheet xmlns:r="http://schemas.openxmlformats.org/officeDocument/2006/relationships" name="2. Literature" sheetId="3" state="visible" r:id="rId3"/>
    <sheet xmlns:r="http://schemas.openxmlformats.org/officeDocument/2006/relationships" name="3. Data &amp; Architecture" sheetId="4" state="visible" r:id="rId4"/>
    <sheet xmlns:r="http://schemas.openxmlformats.org/officeDocument/2006/relationships" name="4. Detector Design" sheetId="5" state="visible" r:id="rId5"/>
    <sheet xmlns:r="http://schemas.openxmlformats.org/officeDocument/2006/relationships" name="5. Validation" sheetId="6" state="visible" r:id="rId6"/>
    <sheet xmlns:r="http://schemas.openxmlformats.org/officeDocument/2006/relationships" name="6. Ablation" sheetId="7" state="visible" r:id="rId7"/>
    <sheet xmlns:r="http://schemas.openxmlformats.org/officeDocument/2006/relationships" name="7. ML Challenger" sheetId="8" state="visible" r:id="rId8"/>
    <sheet xmlns:r="http://schemas.openxmlformats.org/officeDocument/2006/relationships" name="7b. Phases Study (Onset)" sheetId="9" state="visible" r:id="rId9"/>
    <sheet xmlns:r="http://schemas.openxmlformats.org/officeDocument/2006/relationships" name="8. Influence Tracker" sheetId="10" state="visible" r:id="rId10"/>
    <sheet xmlns:r="http://schemas.openxmlformats.org/officeDocument/2006/relationships" name="8b. Influence ML Model" sheetId="11" state="visible" r:id="rId11"/>
    <sheet xmlns:r="http://schemas.openxmlformats.org/officeDocument/2006/relationships" name="9. Legacy Decisions" sheetId="12" state="visible" r:id="rId12"/>
    <sheet xmlns:r="http://schemas.openxmlformats.org/officeDocument/2006/relationships" name="10. Limitations" sheetId="13" state="visible" r:id="rId13"/>
    <sheet xmlns:r="http://schemas.openxmlformats.org/officeDocument/2006/relationships" name="11. Next Steps" sheetId="14" state="visible" r:id="rId14"/>
    <sheet xmlns:r="http://schemas.openxmlformats.org/officeDocument/2006/relationships" name="12. References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b val="1"/>
      <color rgb="001F3864"/>
      <sz val="14"/>
    </font>
    <font>
      <name val="Arial"/>
      <b val="1"/>
      <sz val="11"/>
    </font>
    <font>
      <name val="Arial"/>
      <sz val="11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D9E2F1"/>
        <bgColor rgb="FFF2F2F2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9" fillId="0" borderId="0" pivotButton="0" quotePrefix="0" xfId="0"/>
    <xf numFmtId="0" fontId="10" fillId="6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2" min="1" max="1"/>
    <col width="44" customWidth="1" style="12" min="2" max="2"/>
    <col width="78" customWidth="1" style="12" min="3" max="3"/>
  </cols>
  <sheetData>
    <row r="1" ht="25.5" customHeight="1" s="13">
      <c r="A1" s="14" t="inlineStr">
        <is>
          <t>RetailRadar / retailAPOLLO - Decisions &amp; Evidence (defense-ordered)</t>
        </is>
      </c>
    </row>
    <row r="3" ht="15" customHeight="1" s="13">
      <c r="A3" s="15" t="n"/>
      <c r="B3" s="16" t="inlineStr">
        <is>
          <t>Alex Brown - GIP 2026 Project - MAARS Global Macro</t>
        </is>
      </c>
      <c r="C3" s="15" t="n"/>
    </row>
    <row r="4" ht="57.45" customHeight="1" s="13">
      <c r="A4" s="15" t="n"/>
      <c r="B4" s="15" t="inlineStr">
        <is>
          <t>Every sheet = one act of the defense, in presentation order. Every claim carries its number and its source; every fitted quantity is named; everything else is fixed a priori. References are cited as [n] -&gt; sheet '12. References'.</t>
        </is>
      </c>
      <c r="C4" s="15" t="n"/>
    </row>
    <row r="6" ht="15" customHeight="1" s="13">
      <c r="A6" s="17" t="inlineStr">
        <is>
          <t>Sheet</t>
        </is>
      </c>
      <c r="B6" s="17" t="inlineStr">
        <is>
          <t>The question it answers</t>
        </is>
      </c>
      <c r="C6" s="17" t="inlineStr">
        <is>
          <t>One-line takeaway</t>
        </is>
      </c>
    </row>
    <row r="7" ht="23.85" customHeight="1" s="13">
      <c r="A7" s="18" t="inlineStr">
        <is>
          <t>1. Motivation &amp; Aim</t>
        </is>
      </c>
      <c r="B7" s="19" t="inlineStr">
        <is>
          <t>What problem, and what exactly counts as success?</t>
        </is>
      </c>
      <c r="C7" s="19" t="inlineStr">
        <is>
          <t>Detect retail EUPHORIA from Reddit-derived data alone and call price TOPS: an alert inside [peak-30d, peak+1d]; peaks are price-defined so the test is objective.</t>
        </is>
      </c>
    </row>
    <row r="8" ht="35.05" customHeight="1" s="13">
      <c r="A8" s="20" t="inlineStr">
        <is>
          <t>2. Literature</t>
        </is>
      </c>
      <c r="B8" s="15" t="inlineStr">
        <is>
          <t>Why believe crowd data can call tops at all?</t>
        </is>
      </c>
      <c r="C8" s="15" t="inlineStr">
        <is>
          <t>Attention extremes precede reversals [2][6][9]; one-sided sentiment at extremes is contrarian [5][10]; bubbles carry a super-exponential signature [3][4][7][8]; predictive skill concentrates in identifiable users [1].</t>
        </is>
      </c>
    </row>
    <row r="9" ht="23.85" customHeight="1" s="13">
      <c r="A9" s="18" t="inlineStr">
        <is>
          <t>3. Data &amp; Architecture</t>
        </is>
      </c>
      <c r="B9" s="19" t="inlineStr">
        <is>
          <t>What data, and what guarantees?</t>
        </is>
      </c>
      <c r="C9" s="19" t="inlineStr">
        <is>
          <t>3 sources, text-free committed aggregates, two-machine contract; price data exists ONLY to test, never to predict.</t>
        </is>
      </c>
    </row>
    <row r="10" ht="23.85" customHeight="1" s="13">
      <c r="A10" s="20" t="inlineStr">
        <is>
          <t>4. Detector Design</t>
        </is>
      </c>
      <c r="B10" s="15" t="inlineStr">
        <is>
          <t>What are the rules, precisely?</t>
        </is>
      </c>
      <c r="C10" s="15" t="inlineStr">
        <is>
          <t>4 percentile features + fade trigger + 4 gates; ONE fitted number (the threshold), learned walk-forward; everything else fixed a priori.</t>
        </is>
      </c>
    </row>
    <row r="11" ht="23.85" customHeight="1" s="13">
      <c r="A11" s="18" t="inlineStr">
        <is>
          <t>5. Validation</t>
        </is>
      </c>
      <c r="B11" s="19" t="inlineStr">
        <is>
          <t>Does it work out-of-sample?</t>
        </is>
      </c>
      <c r="C11" s="19" t="inlineStr">
        <is>
          <t>23% of coverage-detectable tops flagged, median 4d before the peak, 0.11 FAs/instrument-year - and the honest cost of the Reddit-only rule is quantified (price-assisted variant: 46%).</t>
        </is>
      </c>
    </row>
    <row r="12" ht="23.85" customHeight="1" s="13">
      <c r="A12" s="20" t="inlineStr">
        <is>
          <t>6. Ablation</t>
        </is>
      </c>
      <c r="B12" s="15" t="inlineStr">
        <is>
          <t>Does every rule earn its place?</t>
        </is>
      </c>
      <c r="C12" s="15" t="inlineStr">
        <is>
          <t>Thesis-style knock-out study [1]: the hype gate is the precision lever (+83 FAs without it), the fade trigger is the capture lever (-0.095 without it).</t>
        </is>
      </c>
    </row>
    <row r="13" ht="23.85" customHeight="1" s="13">
      <c r="A13" s="18" t="inlineStr">
        <is>
          <t>7. ML Challenger</t>
        </is>
      </c>
      <c r="B13" s="19" t="inlineStr">
        <is>
          <t>Would a learned model beat the hand-rules?</t>
        </is>
      </c>
      <c r="C13" s="19" t="inlineStr">
        <is>
          <t>Walk-forward logistic regression on the same features: rejected under a pre-stated criterion; its coefficients rank the same features top - the rules are not arbitrary.</t>
        </is>
      </c>
    </row>
    <row r="14" ht="23.85" customHeight="1" s="13">
      <c r="A14" s="20" t="inlineStr">
        <is>
          <t>8. Influence Tracker</t>
        </is>
      </c>
      <c r="B14" s="15" t="inlineStr">
        <is>
          <t>WHO in the crowd is worth listening to?</t>
        </is>
      </c>
      <c r="C14" s="15" t="inlineStr">
        <is>
          <t>Thesis method end-to-end [1]: volatility-scaled call judging, shrunk usefulness composite, reply-graph PageRank, loud-but-wrong flag.</t>
        </is>
      </c>
    </row>
    <row r="15" ht="23.85" customHeight="1" s="13">
      <c r="A15" s="18" t="inlineStr">
        <is>
          <t>9. Legacy Decisions</t>
        </is>
      </c>
      <c r="B15" s="19" t="inlineStr">
        <is>
          <t>What happened to the old BUY/SELL machinery?</t>
        </is>
      </c>
      <c r="C15" s="19" t="inlineStr">
        <is>
          <t>Retired from the dashboard with evidence (full-history BUY = -1.42%/trade); conviction EWM engine + reversion exits validated and kept for research.</t>
        </is>
      </c>
    </row>
    <row r="16" ht="23.85" customHeight="1" s="13">
      <c r="A16" s="20" t="inlineStr">
        <is>
          <t>10. Limitations</t>
        </is>
      </c>
      <c r="B16" s="15" t="inlineStr">
        <is>
          <t>What would a sharp examiner attack?</t>
        </is>
      </c>
      <c r="C16" s="15" t="inlineStr">
        <is>
          <t>Coverage cliffs, small event counts, VADER label noise, one-subreddit-era gaps - each named, each with its mitigation.</t>
        </is>
      </c>
    </row>
    <row r="17" ht="23.85" customHeight="1" s="13">
      <c r="A17" s="18" t="inlineStr">
        <is>
          <t>11. Next Steps</t>
        </is>
      </c>
      <c r="B17" s="19" t="inlineStr">
        <is>
          <t>What would most improve the result?</t>
        </is>
      </c>
      <c r="C17" s="19" t="inlineStr">
        <is>
          <t>Comment backfill into the aggregates (~10x data, feeds every feature), prices to 2017 (real 2018-2020 train/test years), forward out-of-sample tracking.</t>
        </is>
      </c>
    </row>
    <row r="18" ht="15" customHeight="1" s="13">
      <c r="A18" s="20" t="inlineStr">
        <is>
          <t>12. References</t>
        </is>
      </c>
      <c r="B18" s="15" t="inlineStr">
        <is>
          <t>What is all of this built on?</t>
        </is>
      </c>
      <c r="C18" s="15" t="inlineStr">
        <is>
          <t>Every paper used, with where it entered the design.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2" min="1" max="1"/>
    <col width="60" customWidth="1" style="12" min="2" max="2"/>
    <col width="52" customWidth="1" style="12" min="3" max="3"/>
  </cols>
  <sheetData>
    <row r="1" ht="25.5" customHeight="1" s="13">
      <c r="A1" s="14" t="inlineStr">
        <is>
          <t>1. Motivation &amp; Aim</t>
        </is>
      </c>
    </row>
    <row r="3" ht="15" customHeight="1" s="13">
      <c r="A3" s="17" t="inlineStr">
        <is>
          <t>Item</t>
        </is>
      </c>
      <c r="B3" s="17" t="inlineStr">
        <is>
          <t>Statement</t>
        </is>
      </c>
      <c r="C3" s="17" t="inlineStr">
        <is>
          <t>Why / provenance</t>
        </is>
      </c>
    </row>
    <row r="4" ht="35.05" customHeight="1" s="13">
      <c r="A4" s="20" t="inlineStr">
        <is>
          <t>The observation</t>
        </is>
      </c>
      <c r="B4" s="15" t="inlineStr">
        <is>
          <t>Retail crowds go through visible manic episodes: one name absorbs the room's attention, everyone is bullish for weeks, then the price makes a top and crashes.</t>
        </is>
      </c>
      <c r="C4" s="15" t="inlineStr">
        <is>
          <t>Desk experience + the attention-reversal literature [2][6][9].</t>
        </is>
      </c>
    </row>
    <row r="5" ht="35.05" customHeight="1" s="13">
      <c r="A5" s="18" t="inlineStr">
        <is>
          <t>The aim</t>
        </is>
      </c>
      <c r="B5" s="19" t="inlineStr">
        <is>
          <t>Detect the EUPHORIA state and raise an alert BEFORE the top: success = alert inside [peak - 30 days, peak + 1 day], the closer the better, with false alarms rare.</t>
        </is>
      </c>
      <c r="C5" s="19" t="inlineStr">
        <is>
          <t>Set by the desk, July 2026. The window is the aim's own definition of success - fixed before any validation was run.</t>
        </is>
      </c>
    </row>
    <row r="6" ht="23.85" customHeight="1" s="13">
      <c r="A6" s="20" t="inlineStr">
        <is>
          <t>Desk hypothesis 1</t>
        </is>
      </c>
      <c r="B6" s="15" t="inlineStr">
        <is>
          <t>Euphoria = super bullish AND has been for a long time.</t>
        </is>
      </c>
      <c r="C6" s="15" t="inlineStr">
        <is>
          <t>Encoded as rule E2 + gate A2b (28d bullish level + &gt;=75% of posting days net-bullish).</t>
        </is>
      </c>
    </row>
    <row r="7" ht="35.05" customHeight="1" s="13">
      <c r="A7" s="18" t="inlineStr">
        <is>
          <t>Desk hypothesis 2</t>
        </is>
      </c>
      <c r="B7" s="19" t="inlineStr">
        <is>
          <t>A top is near when retail is still loud but becoming LESS bullish.</t>
        </is>
      </c>
      <c r="C7" s="19" t="inlineStr">
        <is>
          <t>Encoded as the fade trigger E4 (attention &gt;= 90th pct while 14d bullish share falls). Ablation: the single biggest capture contributor (sheet 6).</t>
        </is>
      </c>
    </row>
    <row r="8" ht="23.85" customHeight="1" s="13">
      <c r="A8" s="20" t="inlineStr">
        <is>
          <t>Desk hypothesis 3</t>
        </is>
      </c>
      <c r="B8" s="15" t="inlineStr">
        <is>
          <t>A ticker that is extremely hot AND euphoric is the dangerous one.</t>
        </is>
      </c>
      <c r="C8" s="15" t="inlineStr">
        <is>
          <t>Encoded as gate A2 (attention &gt;= 90th pct) + the hype prerequisite A1 (7d share &gt;= 2x its 120d median).</t>
        </is>
      </c>
    </row>
    <row r="9" ht="35.05" customHeight="1" s="13">
      <c r="A9" s="18" t="inlineStr">
        <is>
          <t>THE constraint</t>
        </is>
      </c>
      <c r="B9" s="19" t="inlineStr">
        <is>
          <t>Prediction uses Reddit-derived data ONLY. Price never enters the euphoria level or the alert - it defines and scores the ground-truth tops, nothing else.</t>
        </is>
      </c>
      <c r="C9" s="19" t="inlineStr">
        <is>
          <t>Desk rule, July 2026. Keeps the claim clean: 'the crowd alone called the top'. Its measured cost: sheet 5.</t>
        </is>
      </c>
    </row>
    <row r="10" ht="35.05" customHeight="1" s="13">
      <c r="A10" s="20" t="inlineStr">
        <is>
          <t>Ground truth (for testing)</t>
        </is>
      </c>
      <c r="B10" s="15" t="inlineStr">
        <is>
          <t>A PEAK = local 21d high, &gt;=25% (ETF) / &gt;=50% (single name) above its 120d low, followed by a &gt;=15% / &gt;=30% drawdown within 90d. Peaks under 30d apart collapse to the higher.</t>
        </is>
      </c>
      <c r="C10" s="15" t="inlineStr">
        <is>
          <t>Price-defined so the test cannot flatter the detector. Dual thresholds: the desk's call - single names are structurally more volatile.</t>
        </is>
      </c>
    </row>
    <row r="11" ht="35.05" customHeight="1" s="13">
      <c r="A11" s="18" t="inlineStr">
        <is>
          <t>Universe</t>
        </is>
      </c>
      <c r="B11" s="19" t="inlineStr">
        <is>
          <t>Tradeable themes (anchor ETFs) minus rates_bonds &amp; real_estate, PLUS the top-25 most-mentioned priced single names (data-chosen, needs &gt;=3,000 scored posts), PLUS retail commodities via their ETFs.</t>
        </is>
      </c>
      <c r="C11" s="19" t="inlineStr">
        <is>
          <t>Desk scope decision, July 2026. Single-name list is data-chosen so the detector catches the NEXT NVDA, not a hand list of the last one.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2" min="1" max="1"/>
    <col width="62" customWidth="1" style="12" min="2" max="2"/>
    <col width="46" customWidth="1" style="12" min="3" max="3"/>
  </cols>
  <sheetData>
    <row r="1" ht="25.5" customHeight="1" s="13">
      <c r="A1" s="14" t="inlineStr">
        <is>
          <t>2. Literature - each finding and where it entered the design</t>
        </is>
      </c>
    </row>
    <row r="3" ht="15" customHeight="1" s="13">
      <c r="A3" s="17" t="inlineStr">
        <is>
          <t>Finding (source)</t>
        </is>
      </c>
      <c r="B3" s="17" t="inlineStr">
        <is>
          <t>What the research says</t>
        </is>
      </c>
      <c r="C3" s="17" t="inlineStr">
        <is>
          <t>Where it lives in this project</t>
        </is>
      </c>
    </row>
    <row r="4" ht="35.05" customHeight="1" s="13">
      <c r="A4" s="20" t="inlineStr">
        <is>
          <t>Attention extremes reverse [2]</t>
        </is>
      </c>
      <c r="B4" s="15" t="inlineStr">
        <is>
          <t>Retail attention surges predict negative abnormal returns - attention-induced buying pushes prices past fundamentals, then they mean-revert (Robinhood herding episodes).</t>
        </is>
      </c>
      <c r="C4" s="15" t="inlineStr">
        <is>
          <t>E1 (attention extremity) + gate A2. Attention is ranked against the name's OWN history, so 'extreme' is name-relative.</t>
        </is>
      </c>
    </row>
    <row r="5" ht="35.05" customHeight="1" s="13">
      <c r="A5" s="18" t="inlineStr">
        <is>
          <t>WSB / discussion-board herding [6][9]</t>
        </is>
      </c>
      <c r="B5" s="19" t="inlineStr">
        <is>
          <t>WallStreetBets activity concentrates attention and amplifies one-way trades; returns following peak attention are poor; social-network 'dumb money' herding measures predict reversals.</t>
        </is>
      </c>
      <c r="C5" s="19" t="inlineStr">
        <is>
          <t>The hype prerequisite A1 (the crowd must have genuinely swollen) and the 21d episode cooldown.</t>
        </is>
      </c>
    </row>
    <row r="6" ht="35.05" customHeight="1" s="13">
      <c r="A6" s="20" t="inlineStr">
        <is>
          <t>Sentiment extremes are contrarian [5][10][11]</t>
        </is>
      </c>
      <c r="B6" s="15" t="inlineStr">
        <is>
          <t>Aggregated bullishness peaks coincide with local price tops in Twitter/Reddit studies; the marginal buyer is exhausted when everyone is already bullish.</t>
        </is>
      </c>
      <c r="C6" s="15" t="inlineStr">
        <is>
          <t>E2 (sustained bullishness, persistence-gated) + the fade trigger E4 (mood rolls over while the crowd is maximal - the classic distribution pattern).</t>
        </is>
      </c>
    </row>
    <row r="7" ht="46.25" customHeight="1" s="13">
      <c r="A7" s="18" t="inlineStr">
        <is>
          <t>Super-exponential growth = bubble signature [3][4][7][8]</t>
        </is>
      </c>
      <c r="B7" s="19" t="inlineStr">
        <is>
          <t>Sornette's LPPLS: unsustainable bubbles show faster-than-exponential growth (the log curves upward) before the crash; validated on two centuries of S&amp;P data [3] and on meme stocks [7].</t>
        </is>
      </c>
      <c r="C7" s="19" t="inlineStr">
        <is>
          <t>E5 - LPPLS-lite convexity applied to ATTENTION (log mentions), not price, per the Reddit-only rule: contagion whose growth rate is itself growing must saturate; attention saturation is where tops form.</t>
        </is>
      </c>
    </row>
    <row r="8" ht="35.05" customHeight="1" s="13">
      <c r="A8" s="20" t="inlineStr">
        <is>
          <t>Skill concentrates in identifiable users [1]</t>
        </is>
      </c>
      <c r="B8" s="15" t="inlineStr">
        <is>
          <t>Chan (Oxford, 2026): a small subset of users carries most predictive ability; they are identifiable from forecast history + network position; the LOUD hubs are the least accurate group (40.2% vs 79.2%).</t>
        </is>
      </c>
      <c r="C8" s="15" t="inlineStr">
        <is>
          <t>The whole Influence Tracker (sheet 8): usefulness composite, volatility-scaled judging, PageRank, loud-but-wrong flag, plus the ablation methodology (sheet 6).</t>
        </is>
      </c>
    </row>
    <row r="9" ht="35.05" customHeight="1" s="13">
      <c r="A9" s="18" t="inlineStr">
        <is>
          <t>Ablation &amp; perturbation methodology [1]</t>
        </is>
      </c>
      <c r="B9" s="19" t="inlineStr">
        <is>
          <t>Single-feature knock-outs measure each ingredient's marginal contribution; caveat - correlated features are understated; threshold-dependent metrics are noisy at small n.</t>
        </is>
      </c>
      <c r="C9" s="19" t="inlineStr">
        <is>
          <t>Sheet 6 replicates the design on the euphoria rules, caveats included.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12" min="1" max="1"/>
    <col width="58" customWidth="1" style="12" min="2" max="2"/>
    <col width="50" customWidth="1" style="12" min="3" max="3"/>
  </cols>
  <sheetData>
    <row r="1" ht="25.5" customHeight="1" s="13">
      <c r="A1" s="14" t="inlineStr">
        <is>
          <t>3. Data &amp; Architecture</t>
        </is>
      </c>
    </row>
    <row r="3" ht="15" customHeight="1" s="13">
      <c r="A3" s="17" t="inlineStr">
        <is>
          <t>Component</t>
        </is>
      </c>
      <c r="B3" s="17" t="inlineStr">
        <is>
          <t>What it is</t>
        </is>
      </c>
      <c r="C3" s="17" t="inlineStr">
        <is>
          <t>Design guarantee</t>
        </is>
      </c>
    </row>
    <row r="4" ht="35.05" customHeight="1" s="13">
      <c r="A4" s="20" t="inlineStr">
        <is>
          <t>Sources</t>
        </is>
      </c>
      <c r="B4" s="15" t="inlineStr">
        <is>
          <t>17 finance subreddits (Arctic Shift, watermarked incremental), X/Twitter (FetchLayer), StockTwits streams - fetched in parallel with a 30s heartbeat.</t>
        </is>
      </c>
      <c r="C4" s="15" t="inlineStr">
        <is>
          <t>Dedup at fold time: first-seen wins; per-source id prefixes prevent collisions.</t>
        </is>
      </c>
    </row>
    <row r="5" ht="23.85" customHeight="1" s="13">
      <c r="A5" s="18" t="inlineStr">
        <is>
          <t>ABSTRACTED_DATA (committed)</t>
        </is>
      </c>
      <c r="B5" s="19" t="inlineStr">
        <is>
          <t>Six text-free daily aggregates: theme/ticker counts, sentiment (n-weighted net-bullish share), term counts, per-source counts.</t>
        </is>
      </c>
      <c r="C5" s="19" t="inlineStr">
        <is>
          <t>The text-free git contract: a FORBIDDEN-columns check runs on every export; raw text never leaves the external machine.</t>
        </is>
      </c>
    </row>
    <row r="6" ht="35.05" customHeight="1" s="13">
      <c r="A6" s="20" t="inlineStr">
        <is>
          <t>Two machines</t>
        </is>
      </c>
      <c r="B6" s="15" t="inlineStr">
        <is>
          <t>External holds posts.parquet (raw text) and can rebuild everything; internal holds only the aggregates and folds live posts straight in.</t>
        </is>
      </c>
      <c r="C6" s="15" t="inlineStr">
        <is>
          <t>Same command on both (update_data.py auto-detects); backtests are window-lenses over window-independent aggregates - instant.</t>
        </is>
      </c>
    </row>
    <row r="7" ht="35.05" customHeight="1" s="13">
      <c r="A7" s="18" t="inlineStr">
        <is>
          <t>Prices (TESTING ONLY)</t>
        </is>
      </c>
      <c r="B7" s="19" t="inlineStr">
        <is>
          <t>Bloomberg PX_LAST via blpapi, incremental append-only store, 287 symbols from 2021 (2017 after the extension command).</t>
        </is>
      </c>
      <c r="C7" s="19" t="inlineStr">
        <is>
          <t>Never a predictive input (test enforces it: compute_euphoria accepts no price argument). Defines ground-truth peaks + scores calls.</t>
        </is>
      </c>
    </row>
    <row r="8" ht="23.85" customHeight="1" s="13">
      <c r="A8" s="20" t="inlineStr">
        <is>
          <t>Comments (new)</t>
        </is>
      </c>
      <c r="B8" s="15" t="inlineStr">
        <is>
          <t>ingestion/fetch_reddit_comments.py - Arctic Shift comment endpoint, watermarked + backfillable; ~10x post volume.</t>
        </is>
      </c>
      <c r="C8" s="15" t="inlineStr">
        <is>
          <t>Feeds the Influence Tracker now; folding comments into the aggregates is the top capture-recovery lever (sheet 11).</t>
        </is>
      </c>
    </row>
    <row r="9" ht="35.05" customHeight="1" s="13">
      <c r="A9" s="18" t="inlineStr">
        <is>
          <t>Influence store (committed)</t>
        </is>
      </c>
      <c r="B9" s="19" t="inlineStr">
        <is>
          <t>data/reference/influence/: calls, author scores, reply edges - author names are public pseudonymous ids; NO text columns.</t>
        </is>
      </c>
      <c r="C9" s="19" t="inlineStr">
        <is>
          <t>Hard write-time check refuses text columns; per-machine ingest ledger stays local; every live run extends the store incrementally.</t>
        </is>
      </c>
    </row>
    <row r="10" ht="35.05" customHeight="1" s="13">
      <c r="A10" s="20" t="inlineStr">
        <is>
          <t>Coverage reality</t>
        </is>
      </c>
      <c r="B10" s="15" t="inlineStr">
        <is>
          <t>The Jan-2026 backfill is ~30x live daily volume; 2023-25 archive coverage is thin. 'Detectable' peaks = coverage existed in the alert window.</t>
        </is>
      </c>
      <c r="C10" s="15" t="inlineStr">
        <is>
          <t>Both capture rates (of all peaks / of detectable) are always reported; thin days draw as dotted bridges on charts, never invented values.</t>
        </is>
      </c>
    </row>
    <row r="11">
      <c r="A11" s="29" t="inlineStr">
        <is>
          <t>Comments decoupled (2026-07-24)</t>
        </is>
      </c>
      <c r="B11" s="29" t="inlineStr">
        <is>
          <t>Reddit comments left the daily pipeline; dedicated runner update_comments.py (upfront time estimate, resumable fetch, influence board update in one command) + matching dashboard button. update_data --with-comments restores the bundle for one run.</t>
        </is>
      </c>
      <c r="C11" s="29" t="inlineStr">
        <is>
          <t>Comments are the slow fetch: 10-50x post volume at the API's polite 1s/page - the daily pull should not pay for them. Influence store semantics unchanged (self-creates, zero-touch re-judging).</t>
        </is>
      </c>
      <c r="D11" s="29" t="inlineStr">
        <is>
          <t>fetch_all --skip-comments; update_comments.py; dashboard 'comments' plan</t>
        </is>
      </c>
    </row>
    <row r="12">
      <c r="A12" s="29" t="inlineStr">
        <is>
          <t>Dynamic subreddit panel (2026-07-24)</t>
        </is>
      </c>
      <c r="B12" s="29" t="inlineStr">
        <is>
          <t>Monthly watermarked review mines panel text for r/NAME referrals; a candidate with &gt;= 100 unique referrers/28d (PANEL_MIN_REFERRERS = the A0 floor, reused) that passes the same-ruler finance screen (ticker rate &gt;= 0.5x panel average) auto-joins the EXPLORATION tier; cap 1 add/review; CORE 17 frozen; audit manifest committed.</t>
        </is>
      </c>
      <c r="C12" s="29" t="inlineStr">
        <is>
          <t>The crowd tells you where it is moving (WSB-&gt;Superstonk) - same philosophy as the data-chosen single names. Cap + manifest + local by-subreddit aggregate exist because panel changes step the share denominator (the source_breadth lesson).</t>
        </is>
      </c>
      <c r="D12" s="29" t="inlineStr">
        <is>
          <t>ingestion/discover_subreddits.py; subreddit_panel.json; docs/panel_review_latest.md; TestDynamicPanel (4 tests)</t>
        </is>
      </c>
    </row>
    <row r="13">
      <c r="A13" s="29" t="inlineStr">
        <is>
          <t>Research/live split (2026-07-24)</t>
        </is>
      </c>
      <c r="B13" s="29" t="inlineStr">
        <is>
          <t>Live pulls score at FROZEN thresholds (seconds); the full validation (walk-forward + ablation + ML challenger + threshold selection) runs only on explicit --research, on year rollover (auto), on a missing report (auto), or on update_data --full (forced).</t>
        </is>
      </c>
      <c r="C13" s="29" t="inlineStr">
        <is>
          <t>The walk-forward trains each year's threshold on STRICTLY EARLIER years, so intra-year recompute is provably a no-op - research decides once, live scores. Phases' live threshold now selects on full prior years only (stable within a year by construction).</t>
        </is>
      </c>
      <c r="D13" s="29" t="inlineStr">
        <is>
          <t>run_analytics --research; euphoria.needs_research / phases.onset_needs_research; TestResearchLiveSplit</t>
        </is>
      </c>
    </row>
    <row r="14">
      <c r="A14" s="29" t="inlineStr">
        <is>
          <t>Terminal display policy (2026-07-24)</t>
        </is>
      </c>
      <c r="B14" s="29" t="inlineStr">
        <is>
          <t>EUPHORIA tabs list EVERY instrument alerted inside the selected window, newest alert first (no filler names). Single names show a STARTING flag only when the crowd cleared the FULL A1 hype bar (2x own 120d median) at the alert - really-euphoric names only, no flicker. Glossary + per-theme/per-ticker hit-rate tables added to the notebooks.</t>
        </is>
      </c>
      <c r="C14" s="29" t="inlineStr">
        <is>
          <t>Display policy, not a detector change: the research alerts are unchanged; the terminal holds tickers to the same 2x bar the ENDING detector already requires (existing frozen constant, no new number).</t>
        </is>
      </c>
      <c r="D14" s="29" t="inlineStr">
        <is>
          <t>dashboard.py render_euphoria_tab; euphoria_onset.parquet hype_raw column; NB04 per-name tables</t>
        </is>
      </c>
    </row>
    <row r="15">
      <c r="A15" s="29" t="inlineStr">
        <is>
          <t>Episode coherence + chart clarity (2026-07-24)</t>
        </is>
      </c>
      <c r="B15" s="29" t="inlineStr">
        <is>
          <t>ASYMMETRIC coherence rule on the terminal: a START within one 21d cooldown AFTER an END is suppressed (contradictory flip); an END after a START is never suppressed. Level charts show the 7d-smoothed curve (ROLL), the frozen threshold line, and highlight only alert-ELIGIBLE stretches (A1 gate) - plus a type-to-search lookup for any name.</t>
        </is>
      </c>
      <c r="C15" s="29" t="inlineStr">
        <is>
          <t>Measured, not assumed: the symmetric rule cost the top detector HALF its walk-forward captures (17-&gt;9) for 8 fewer FAs - fast manias genuinely run start-to-end inside a cooldown; the onset direction cost 2 captures and removed 7 FAs. Cooldown 21d = the existing one-episode constant; smoothing window = the existing ROLL=7.</t>
        </is>
      </c>
      <c r="D15" s="29" t="inlineStr">
        <is>
          <t>episode_coherent_alerts + TestEpisodeCoherence (4 tests); dashboard draw_chart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2" min="1" max="1"/>
    <col width="46" customWidth="1" style="12" min="2" max="2"/>
    <col width="30" customWidth="1" style="12" min="3" max="3"/>
    <col width="24" customWidth="1" style="12" min="4" max="4"/>
    <col width="30" customWidth="1" style="12" min="5" max="5"/>
  </cols>
  <sheetData>
    <row r="1" ht="25.5" customHeight="1" s="13">
      <c r="A1" s="14" t="inlineStr">
        <is>
          <t>4. Euphoria Detector - every rule, its value, and its status</t>
        </is>
      </c>
    </row>
    <row r="3" ht="15" customHeight="1" s="13">
      <c r="A3" s="17" t="inlineStr">
        <is>
          <t>Rule</t>
        </is>
      </c>
      <c r="B3" s="17" t="inlineStr">
        <is>
          <t>Definition</t>
        </is>
      </c>
      <c r="C3" s="17" t="inlineStr">
        <is>
          <t>Rationale</t>
        </is>
      </c>
      <c r="D3" s="17" t="inlineStr">
        <is>
          <t>Parameter(s)</t>
        </is>
      </c>
      <c r="E3" s="17" t="inlineStr">
        <is>
          <t>Status</t>
        </is>
      </c>
    </row>
    <row r="4" ht="23.85" customHeight="1" s="13">
      <c r="A4" s="20" t="inlineStr">
        <is>
          <t>E1</t>
        </is>
      </c>
      <c r="B4" s="15" t="inlineStr">
        <is>
          <t>Attention extremity: trailing pct-rank of the 7d mention share (vs the name's own last 365d).</t>
        </is>
      </c>
      <c r="C4" s="15" t="inlineStr">
        <is>
          <t>You cannot be euphoric quietly [2].</t>
        </is>
      </c>
      <c r="D4" s="15" t="inlineStr">
        <is>
          <t>rank window 365d, min 180d</t>
        </is>
      </c>
      <c r="E4" s="15" t="inlineStr">
        <is>
          <t>Fixed a priori</t>
        </is>
      </c>
    </row>
    <row r="5" ht="57.45" customHeight="1" s="13">
      <c r="A5" s="18" t="inlineStr">
        <is>
          <t>E2</t>
        </is>
      </c>
      <c r="B5" s="19" t="inlineStr">
        <is>
          <t>Sustained bullishness: pct-rank of the 28d net-bullish share, x0 unless &gt;=75% of the last 28 POSTING days were net-bullish.</t>
        </is>
      </c>
      <c r="C5" s="19" t="inlineStr">
        <is>
          <t>Desk hypothesis 1: weeks of one-way lean, not one loud day. Persistence over posting days: a zero-post day is 'no evidence', not 'not bullish'.</t>
        </is>
      </c>
      <c r="D5" s="19" t="inlineStr">
        <is>
          <t>28d window, 75% persistence</t>
        </is>
      </c>
      <c r="E5" s="19" t="inlineStr">
        <is>
          <t>Fixed a priori</t>
        </is>
      </c>
    </row>
    <row r="6" ht="23.85" customHeight="1" s="13">
      <c r="A6" s="20" t="inlineStr">
        <is>
          <t>E3</t>
        </is>
      </c>
      <c r="B6" s="15" t="inlineStr">
        <is>
          <t>Crowd influx: pct-rank of the 28d CHANGE in mention share.</t>
        </is>
      </c>
      <c r="C6" s="15" t="inlineStr">
        <is>
          <t>The crowd is still arriving - late-stage contagion.</t>
        </is>
      </c>
      <c r="D6" s="15" t="inlineStr">
        <is>
          <t>28d diff</t>
        </is>
      </c>
      <c r="E6" s="15" t="inlineStr">
        <is>
          <t>Fixed a priori</t>
        </is>
      </c>
    </row>
    <row r="7" ht="46.25" customHeight="1" s="13">
      <c r="A7" s="18" t="inlineStr">
        <is>
          <t>E5</t>
        </is>
      </c>
      <c r="B7" s="19" t="inlineStr">
        <is>
          <t>Super-exponential ATTENTION growth: pct-rank of positive convexity of log(1+mentions, 7d-smoothed) over a rolling 60d quadratic fit.</t>
        </is>
      </c>
      <c r="C7" s="19" t="inlineStr">
        <is>
          <t>Sornette's bubble signature [3][4][7][8], applied to the crowd (Reddit-only rule): accelerating contagion must saturate.</t>
        </is>
      </c>
      <c r="D7" s="19" t="inlineStr">
        <is>
          <t>60d fit window</t>
        </is>
      </c>
      <c r="E7" s="19" t="inlineStr">
        <is>
          <t>Fixed a priori</t>
        </is>
      </c>
    </row>
    <row r="8" ht="23.85" customHeight="1" s="13">
      <c r="A8" s="20" t="inlineStr">
        <is>
          <t>LEVEL</t>
        </is>
      </c>
      <c r="B8" s="15" t="inlineStr">
        <is>
          <t>EUPHORIA LEVEL = 100 x mean(E1, E2, E3, E5).</t>
        </is>
      </c>
      <c r="C8" s="15" t="inlineStr">
        <is>
          <t>Equal weights - no fitted feature weights to overfit.</t>
        </is>
      </c>
      <c r="D8" s="15" t="inlineStr">
        <is>
          <t>-</t>
        </is>
      </c>
      <c r="E8" s="15" t="inlineStr">
        <is>
          <t>Fixed a priori</t>
        </is>
      </c>
    </row>
    <row r="9" ht="35.05" customHeight="1" s="13">
      <c r="A9" s="18" t="inlineStr">
        <is>
          <t>E4 fade</t>
        </is>
      </c>
      <c r="B9" s="19" t="inlineStr">
        <is>
          <t>Trigger sharpener: attention &gt;= 90th pct while the 14d bullish share change is NEGATIVE -&gt; alert threshold drops by 10 points.</t>
        </is>
      </c>
      <c r="C9" s="19" t="inlineStr">
        <is>
          <t>Desk hypothesis 2: crowd maximal, mood rolling over - historically the LAST stage before the top.</t>
        </is>
      </c>
      <c r="D9" s="19" t="inlineStr">
        <is>
          <t>discount 10 pts</t>
        </is>
      </c>
      <c r="E9" s="19" t="inlineStr">
        <is>
          <t>Fixed a priori</t>
        </is>
      </c>
    </row>
    <row r="10" ht="23.85" customHeight="1" s="13">
      <c r="A10" s="20" t="inlineStr">
        <is>
          <t>A0</t>
        </is>
      </c>
      <c r="B10" s="15" t="inlineStr">
        <is>
          <t>Coverage gate: &gt;= 100 scored posts in the last 28d.</t>
        </is>
      </c>
      <c r="C10" s="15" t="inlineStr">
        <is>
          <t>Percentile extremes on a handful of posts are noise wearing a costume.</t>
        </is>
      </c>
      <c r="D10" s="15" t="inlineStr">
        <is>
          <t>100 posts</t>
        </is>
      </c>
      <c r="E10" s="15" t="inlineStr">
        <is>
          <t>Fixed a priori</t>
        </is>
      </c>
    </row>
    <row r="11" ht="46.25" customHeight="1" s="13">
      <c r="A11" s="18" t="inlineStr">
        <is>
          <t>A1</t>
        </is>
      </c>
      <c r="B11" s="19" t="inlineStr">
        <is>
          <t>Hype prerequisite: 7d mention share &gt;= 2.0x its own trailing 120d MEDIAN.</t>
        </is>
      </c>
      <c r="C11" s="19" t="inlineStr">
        <is>
          <t>'Something must go euphoric first' - measured in the crowd, never the chart. Median (not min) so the gate cannot be vacuous.</t>
        </is>
      </c>
      <c r="D11" s="19" t="inlineStr">
        <is>
          <t>2.0x, 120d</t>
        </is>
      </c>
      <c r="E11" s="19" t="inlineStr">
        <is>
          <t>Fixed a priori</t>
        </is>
      </c>
    </row>
    <row r="12" ht="23.85" customHeight="1" s="13">
      <c r="A12" s="20" t="inlineStr">
        <is>
          <t>A2 / A2b</t>
        </is>
      </c>
      <c r="B12" s="15" t="inlineStr">
        <is>
          <t>Attention &gt;= 90th pct AND E2 &gt; 0 as hard prerequisites.</t>
        </is>
      </c>
      <c r="C12" s="15" t="inlineStr">
        <is>
          <t>Desk hypotheses 3 and 1 as gates, not just score components.</t>
        </is>
      </c>
      <c r="D12" s="15" t="inlineStr">
        <is>
          <t>0.90</t>
        </is>
      </c>
      <c r="E12" s="15" t="inlineStr">
        <is>
          <t>Fixed a priori</t>
        </is>
      </c>
    </row>
    <row r="13" ht="35.05" customHeight="1" s="13">
      <c r="A13" s="18" t="inlineStr">
        <is>
          <t>A3</t>
        </is>
      </c>
      <c r="B13" s="19" t="inlineStr">
        <is>
          <t>Level &gt;= threshold (or &gt;= threshold - 10 with fade active).</t>
        </is>
      </c>
      <c r="C13" s="19" t="inlineStr">
        <is>
          <t>THE trigger.</t>
        </is>
      </c>
      <c r="D13" s="19" t="inlineStr">
        <is>
          <t>threshold in {50..85}</t>
        </is>
      </c>
      <c r="E13" s="19" t="inlineStr">
        <is>
          <t>FITTED - walk-forward only, past years only; conservative default when training is empty</t>
        </is>
      </c>
    </row>
    <row r="14" ht="23.85" customHeight="1" s="13">
      <c r="A14" s="20" t="inlineStr">
        <is>
          <t>A4</t>
        </is>
      </c>
      <c r="B14" s="15" t="inlineStr">
        <is>
          <t>Cooldown: one alert per name per 21 days.</t>
        </is>
      </c>
      <c r="C14" s="15" t="inlineStr">
        <is>
          <t>One alert per episode - a manic month is one call, not twenty.</t>
        </is>
      </c>
      <c r="D14" s="15" t="inlineStr">
        <is>
          <t>21d</t>
        </is>
      </c>
      <c r="E14" s="15" t="inlineStr">
        <is>
          <t>Fixed a priori</t>
        </is>
      </c>
    </row>
    <row r="15" ht="46.25" customHeight="1" s="13">
      <c r="A15" s="18" t="inlineStr">
        <is>
          <t>Judging</t>
        </is>
      </c>
      <c r="B15" s="19" t="inlineStr">
        <is>
          <t>Alerts count only inside the judgeable window: price history exists at the alert AND for 45d after.</t>
        </is>
      </c>
      <c r="C15" s="19" t="inlineStr">
        <is>
          <t>Pre-price-history alerts are PENDING, not false - scoring them as FAs was a measured bug (fixed July 2026).</t>
        </is>
      </c>
      <c r="D15" s="19" t="inlineStr">
        <is>
          <t>45d</t>
        </is>
      </c>
      <c r="E15" s="19" t="inlineStr">
        <is>
          <t>Fixed a priori</t>
        </is>
      </c>
    </row>
    <row r="17" ht="57.45" customHeight="1" s="13">
      <c r="A17" s="21" t="inlineStr">
        <is>
          <t>NOTE</t>
        </is>
      </c>
      <c r="B17" s="22" t="inlineStr">
        <is>
          <t>The one deliberate trade: an earlier variant also used price features (log-price convexity + a price-boom gate) and captured 46% of detectable peaks. The Reddit-only rule gives that up for the clean claim. The delta is quantified on sheet 5 and the recovery path on sheet 11.</t>
        </is>
      </c>
      <c r="C17" s="22" t="n"/>
      <c r="D17" s="22" t="n"/>
      <c r="E17" s="22" t="n"/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2" min="1" max="1"/>
    <col width="13" customWidth="1" style="12" min="2" max="5"/>
    <col width="14" customWidth="1" style="12" min="6" max="6"/>
    <col width="15" customWidth="1" style="12" min="7" max="7"/>
  </cols>
  <sheetData>
    <row r="1" ht="25.5" customHeight="1" s="13">
      <c r="A1" s="14" t="inlineStr">
        <is>
          <t>5. Walk-forward validation (threshold learned from PAST years only)</t>
        </is>
      </c>
    </row>
    <row r="3" ht="26.85" customHeight="1" s="13">
      <c r="A3" s="17" t="inlineStr">
        <is>
          <t>Year</t>
        </is>
      </c>
      <c r="B3" s="17" t="inlineStr">
        <is>
          <t>Threshold</t>
        </is>
      </c>
      <c r="C3" s="17" t="inlineStr">
        <is>
          <t>Peaks (all)</t>
        </is>
      </c>
      <c r="D3" s="17" t="inlineStr">
        <is>
          <t>Detectable</t>
        </is>
      </c>
      <c r="E3" s="17" t="inlineStr">
        <is>
          <t>Captured</t>
        </is>
      </c>
      <c r="F3" s="17" t="inlineStr">
        <is>
          <t>False alarms</t>
        </is>
      </c>
      <c r="G3" s="17" t="inlineStr">
        <is>
          <t>Capture rate (detectable)</t>
        </is>
      </c>
    </row>
    <row r="4" ht="15" customHeight="1" s="13">
      <c r="A4" s="15" t="inlineStr">
        <is>
          <t>2021</t>
        </is>
      </c>
      <c r="B4" s="15" t="n">
        <v>85</v>
      </c>
      <c r="C4" s="15" t="n">
        <v>38</v>
      </c>
      <c r="D4" s="15" t="n">
        <v>34</v>
      </c>
      <c r="E4" s="15" t="n">
        <v>13</v>
      </c>
      <c r="F4" s="15" t="n">
        <v>24</v>
      </c>
      <c r="G4" s="15">
        <f>IF(D4=0,"n/a",ROUND(E4/D4,3))</f>
        <v/>
      </c>
    </row>
    <row r="5" ht="15" customHeight="1" s="13">
      <c r="A5" s="19" t="inlineStr">
        <is>
          <t>2022</t>
        </is>
      </c>
      <c r="B5" s="19" t="n">
        <v>85</v>
      </c>
      <c r="C5" s="19" t="n">
        <v>47</v>
      </c>
      <c r="D5" s="19" t="n">
        <v>22</v>
      </c>
      <c r="E5" s="19" t="n">
        <v>2</v>
      </c>
      <c r="F5" s="19" t="n">
        <v>19</v>
      </c>
      <c r="G5" s="19">
        <f>IF(D5=0,"n/a",ROUND(E5/D5,3))</f>
        <v/>
      </c>
    </row>
    <row r="6" ht="15" customHeight="1" s="13">
      <c r="A6" s="15" t="inlineStr">
        <is>
          <t>2023</t>
        </is>
      </c>
      <c r="B6" s="15" t="n">
        <v>85</v>
      </c>
      <c r="C6" s="15" t="n">
        <v>35</v>
      </c>
      <c r="D6" s="15" t="n">
        <v>5</v>
      </c>
      <c r="E6" s="15" t="n">
        <v>0</v>
      </c>
      <c r="F6" s="15" t="n">
        <v>7</v>
      </c>
      <c r="G6" s="15">
        <f>IF(D6=0,"n/a",ROUND(E6/D6,3))</f>
        <v/>
      </c>
    </row>
    <row r="7" ht="15" customHeight="1" s="13">
      <c r="A7" s="19" t="inlineStr">
        <is>
          <t>2024</t>
        </is>
      </c>
      <c r="B7" s="19" t="n">
        <v>85</v>
      </c>
      <c r="C7" s="19" t="n">
        <v>44</v>
      </c>
      <c r="D7" s="19" t="n">
        <v>0</v>
      </c>
      <c r="E7" s="19" t="n">
        <v>0</v>
      </c>
      <c r="F7" s="19" t="n">
        <v>1</v>
      </c>
      <c r="G7" s="19">
        <f>IF(D7=0,"n/a",ROUND(E7/D7,3))</f>
        <v/>
      </c>
    </row>
    <row r="8" ht="15" customHeight="1" s="13">
      <c r="A8" s="15" t="inlineStr">
        <is>
          <t>2025</t>
        </is>
      </c>
      <c r="B8" s="15" t="n">
        <v>85</v>
      </c>
      <c r="C8" s="15" t="n">
        <v>34</v>
      </c>
      <c r="D8" s="15" t="n">
        <v>0</v>
      </c>
      <c r="E8" s="15" t="n">
        <v>0</v>
      </c>
      <c r="F8" s="15" t="n">
        <v>0</v>
      </c>
      <c r="G8" s="15">
        <f>IF(D8=0,"n/a",ROUND(E8/D8,3))</f>
        <v/>
      </c>
    </row>
    <row r="9" ht="15" customHeight="1" s="13">
      <c r="A9" s="19" t="inlineStr">
        <is>
          <t>2026</t>
        </is>
      </c>
      <c r="B9" s="19" t="n">
        <v>85</v>
      </c>
      <c r="C9" s="19" t="n">
        <v>21</v>
      </c>
      <c r="D9" s="19" t="n">
        <v>13</v>
      </c>
      <c r="E9" s="19" t="n">
        <v>2</v>
      </c>
      <c r="F9" s="19" t="n">
        <v>7</v>
      </c>
      <c r="G9" s="19">
        <f>IF(D9=0,"n/a",ROUND(E9/D9,3))</f>
        <v/>
      </c>
    </row>
    <row r="10" ht="15" customHeight="1" s="13">
      <c r="A10" s="23" t="inlineStr">
        <is>
          <t>TOTAL</t>
        </is>
      </c>
      <c r="B10" s="24" t="n"/>
      <c r="C10" s="23">
        <f>SUM(C4:C9)</f>
        <v/>
      </c>
      <c r="D10" s="23">
        <f>SUM(D4:D9)</f>
        <v/>
      </c>
      <c r="E10" s="23">
        <f>SUM(E4:E9)</f>
        <v/>
      </c>
      <c r="F10" s="23">
        <f>SUM(F4:F9)</f>
        <v/>
      </c>
      <c r="G10" s="23">
        <f>ROUND(E10/D10,3)</f>
        <v/>
      </c>
    </row>
    <row r="12" ht="26.85" customHeight="1" s="13">
      <c r="A12" s="17" t="inlineStr">
        <is>
          <t>Headline metric</t>
        </is>
      </c>
      <c r="B12" s="17" t="inlineStr">
        <is>
          <t>Value</t>
        </is>
      </c>
      <c r="C12" s="17" t="n"/>
      <c r="D12" s="17" t="n"/>
      <c r="E12" s="17" t="n"/>
      <c r="F12" s="17" t="n"/>
      <c r="G12" s="17" t="n"/>
    </row>
    <row r="13" ht="35.05" customHeight="1" s="13">
      <c r="A13" s="20" t="inlineStr">
        <is>
          <t>Capture rate, of detectable peaks</t>
        </is>
      </c>
      <c r="B13" s="15">
        <f>ROUND(17/74,3)</f>
        <v/>
      </c>
      <c r="C13" s="15" t="n"/>
      <c r="D13" s="15" t="n"/>
      <c r="E13" s="15" t="n"/>
      <c r="F13" s="15" t="n"/>
      <c r="G13" s="15" t="n"/>
    </row>
    <row r="14" ht="57.45" customHeight="1" s="13">
      <c r="A14" s="20" t="inlineStr">
        <is>
          <t>Capture rate, of ALL peaks (incl. no-coverage eras)</t>
        </is>
      </c>
      <c r="B14" s="15">
        <f>ROUND(17/219,3)</f>
        <v/>
      </c>
      <c r="C14" s="15" t="n"/>
      <c r="D14" s="15" t="n"/>
      <c r="E14" s="15" t="n"/>
      <c r="F14" s="15" t="n"/>
      <c r="G14" s="15" t="n"/>
    </row>
    <row r="15" ht="35.05" customHeight="1" s="13">
      <c r="A15" s="20" t="inlineStr">
        <is>
          <t>Median lead (days before the peak)</t>
        </is>
      </c>
      <c r="B15" s="15" t="n">
        <v>4</v>
      </c>
      <c r="C15" s="15" t="n"/>
      <c r="D15" s="15" t="n"/>
      <c r="E15" s="15" t="n"/>
      <c r="F15" s="15" t="n"/>
      <c r="G15" s="15" t="n"/>
    </row>
    <row r="16" ht="79.84999999999999" customHeight="1" s="13">
      <c r="A16" s="20" t="inlineStr">
        <is>
          <t>False alarms per instrument-year (59 instruments x 9 eval years)</t>
        </is>
      </c>
      <c r="B16" s="15">
        <f>ROUND(58/(59*9),2)</f>
        <v/>
      </c>
      <c r="C16" s="15" t="n"/>
      <c r="D16" s="15" t="n"/>
      <c r="E16" s="15" t="n"/>
      <c r="F16" s="15" t="n"/>
      <c r="G16" s="15" t="n"/>
    </row>
    <row r="17" ht="91" customHeight="1" s="13">
      <c r="A17" s="20" t="inlineStr">
        <is>
          <t>Price-assisted variant (retired under the Reddit-only rule)</t>
        </is>
      </c>
      <c r="B17" s="15" t="inlineStr">
        <is>
          <t>captured 46% of detectable, 0.08 FAs/instr-yr - the documented cost of the crowd-only claim</t>
        </is>
      </c>
      <c r="C17" s="15" t="n"/>
      <c r="D17" s="15" t="n"/>
      <c r="E17" s="15" t="n"/>
      <c r="F17" s="15" t="n"/>
      <c r="G17" s="15" t="n"/>
    </row>
    <row r="19" ht="46.25" customHeight="1" s="13">
      <c r="A19" s="21" t="inlineStr">
        <is>
          <t>Reading the table</t>
        </is>
      </c>
      <c r="B19" s="22" t="inlineStr">
        <is>
          <t>2021 + 2026 carry the signal because they carry the coverage (backfill + live eras). 2023-25 have ZERO detectable peaks - the detector is not wrong there, it is blind there, and the denominator says so honestly. 2021's threshold is the conservative default (its training years pre-date price history); extending prices to 2017 turns 2018-20 into real training and test years.</t>
        </is>
      </c>
      <c r="C19" s="25" t="n"/>
      <c r="D19" s="25" t="n"/>
      <c r="E19" s="25" t="n"/>
      <c r="F19" s="25" t="n"/>
      <c r="G19" s="26" t="n"/>
    </row>
  </sheetData>
  <mergeCells count="2">
    <mergeCell ref="B19:G19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2" min="1" max="1"/>
    <col width="15" customWidth="1" style="12" min="2" max="2"/>
    <col width="12" customWidth="1" style="12" min="3" max="3"/>
    <col width="13" customWidth="1" style="12" min="4" max="4"/>
    <col width="12" customWidth="1" style="12" min="5" max="5"/>
    <col width="13" customWidth="1" style="12" min="6" max="6"/>
    <col width="42" customWidth="1" style="12" min="7" max="7"/>
  </cols>
  <sheetData>
    <row r="1" ht="25.5" customHeight="1" s="13">
      <c r="A1" s="14" t="inlineStr">
        <is>
          <t>6. Ablation - drop one rule, re-run the ENTIRE walk-forward (design: [1] sec 7.2.1)</t>
        </is>
      </c>
    </row>
    <row r="3" ht="26.85" customHeight="1" s="13">
      <c r="A3" s="17" t="inlineStr">
        <is>
          <t>Variant</t>
        </is>
      </c>
      <c r="B3" s="17" t="inlineStr">
        <is>
          <t>Capture (of detectable)</t>
        </is>
      </c>
      <c r="C3" s="17" t="inlineStr">
        <is>
          <t>vs FULL</t>
        </is>
      </c>
      <c r="D3" s="17" t="inlineStr">
        <is>
          <t>False alarms</t>
        </is>
      </c>
      <c r="E3" s="17" t="inlineStr">
        <is>
          <t>vs FULL</t>
        </is>
      </c>
      <c r="F3" s="17" t="inlineStr">
        <is>
          <t>Median lead (d)</t>
        </is>
      </c>
      <c r="G3" s="17" t="inlineStr">
        <is>
          <t>Interpretation</t>
        </is>
      </c>
    </row>
    <row r="4" ht="15" customHeight="1" s="13">
      <c r="A4" s="23" t="inlineStr">
        <is>
          <t>FULL (all rules)</t>
        </is>
      </c>
      <c r="B4" s="24" t="n">
        <v>0.23</v>
      </c>
      <c r="C4" s="24" t="n">
        <v>0</v>
      </c>
      <c r="D4" s="24" t="n">
        <v>58</v>
      </c>
      <c r="E4" s="24" t="n">
        <v>0</v>
      </c>
      <c r="F4" s="24" t="n">
        <v>4</v>
      </c>
      <c r="G4" s="24" t="inlineStr">
        <is>
          <t>The baseline every knock-out is measured against.</t>
        </is>
      </c>
    </row>
    <row r="5" ht="23.85" customHeight="1" s="13">
      <c r="A5" s="18" t="inlineStr">
        <is>
          <t>- E1 attention (level)</t>
        </is>
      </c>
      <c r="B5" s="19" t="n">
        <v>0.189</v>
      </c>
      <c r="C5" s="19" t="n">
        <v>-0.041</v>
      </c>
      <c r="D5" s="19" t="n">
        <v>37</v>
      </c>
      <c r="E5" s="19" t="n">
        <v>-21</v>
      </c>
      <c r="F5" s="19" t="n">
        <v>4</v>
      </c>
      <c r="G5" s="19" t="inlineStr">
        <is>
          <t>Attention extremity carries capture - dropping it loses 3 of 17 catches.</t>
        </is>
      </c>
    </row>
    <row r="6" ht="35.05" customHeight="1" s="13">
      <c r="A6" s="20" t="inlineStr">
        <is>
          <t>- E2 sustained bull (level)</t>
        </is>
      </c>
      <c r="B6" s="15" t="n">
        <v>0.297</v>
      </c>
      <c r="C6" s="15" t="n">
        <v>0.067</v>
      </c>
      <c r="D6" s="15" t="n">
        <v>84</v>
      </c>
      <c r="E6" s="15" t="n">
        <v>26</v>
      </c>
      <c r="F6" s="15" t="n">
        <v>6.5</v>
      </c>
      <c r="G6" s="15" t="inlineStr">
        <is>
          <t>Removing E2 catches more but fires 45% more FAs - E2 is a precision feature. Kept: frozen a-priori design; revisiting it would be selecting on the test.</t>
        </is>
      </c>
    </row>
    <row r="7" ht="15" customHeight="1" s="13">
      <c r="A7" s="18" t="inlineStr">
        <is>
          <t>- E3 crowd influx (level)</t>
        </is>
      </c>
      <c r="B7" s="19" t="n">
        <v>0.189</v>
      </c>
      <c r="C7" s="19" t="n">
        <v>-0.041</v>
      </c>
      <c r="D7" s="19" t="n">
        <v>40</v>
      </c>
      <c r="E7" s="19" t="n">
        <v>-18</v>
      </c>
      <c r="F7" s="19" t="n">
        <v>4</v>
      </c>
      <c r="G7" s="19" t="inlineStr">
        <is>
          <t>Crowd influx carries capture symmetrically with E1.</t>
        </is>
      </c>
    </row>
    <row r="8" ht="23.85" customHeight="1" s="13">
      <c r="A8" s="20" t="inlineStr">
        <is>
          <t>- E5 super-exp attention (level)</t>
        </is>
      </c>
      <c r="B8" s="15" t="n">
        <v>0.203</v>
      </c>
      <c r="C8" s="15" t="n">
        <v>-0.027</v>
      </c>
      <c r="D8" s="15" t="n">
        <v>52</v>
      </c>
      <c r="E8" s="15" t="n">
        <v>-6</v>
      </c>
      <c r="F8" s="15" t="n">
        <v>2</v>
      </c>
      <c r="G8" s="15" t="inlineStr">
        <is>
          <t>The contagion-acceleration feature adds captures AND days of lead.</t>
        </is>
      </c>
    </row>
    <row r="9" ht="23.85" customHeight="1" s="13">
      <c r="A9" s="18" t="inlineStr">
        <is>
          <t>- hype gate A1</t>
        </is>
      </c>
      <c r="B9" s="19" t="n">
        <v>0.284</v>
      </c>
      <c r="C9" s="19" t="n">
        <v>0.054</v>
      </c>
      <c r="D9" s="19" t="n">
        <v>141</v>
      </c>
      <c r="E9" s="19" t="n">
        <v>83</v>
      </c>
      <c r="F9" s="19" t="n">
        <v>6</v>
      </c>
      <c r="G9" s="19" t="inlineStr">
        <is>
          <t>THE precision lever: without 'the crowd must have swollen', false alarms nearly triple.</t>
        </is>
      </c>
    </row>
    <row r="10" ht="23.85" customHeight="1" s="13">
      <c r="A10" s="20" t="inlineStr">
        <is>
          <t>- attention gate A2</t>
        </is>
      </c>
      <c r="B10" s="15" t="n">
        <v>0.23</v>
      </c>
      <c r="C10" s="15" t="n">
        <v>0</v>
      </c>
      <c r="D10" s="15" t="n">
        <v>60</v>
      </c>
      <c r="E10" s="15" t="n">
        <v>2</v>
      </c>
      <c r="F10" s="15" t="n">
        <v>4</v>
      </c>
      <c r="G10" s="15" t="inlineStr">
        <is>
          <t>Mostly redundant with A1 at these thresholds - kept as the stated definition of hypothesis 3.</t>
        </is>
      </c>
    </row>
    <row r="11" ht="15" customHeight="1" s="13">
      <c r="A11" s="18" t="inlineStr">
        <is>
          <t>- sustained-bull gate A2b</t>
        </is>
      </c>
      <c r="B11" s="19" t="n">
        <v>0.23</v>
      </c>
      <c r="C11" s="19" t="n">
        <v>0</v>
      </c>
      <c r="D11" s="19" t="n">
        <v>64</v>
      </c>
      <c r="E11" s="19" t="n">
        <v>6</v>
      </c>
      <c r="F11" s="19" t="n">
        <v>4</v>
      </c>
      <c r="G11" s="19" t="inlineStr">
        <is>
          <t>Pure precision, zero capture cost - a free gate.</t>
        </is>
      </c>
    </row>
    <row r="12" ht="35.05" customHeight="1" s="13">
      <c r="A12" s="20" t="inlineStr">
        <is>
          <t>- fade trigger E4</t>
        </is>
      </c>
      <c r="B12" s="15" t="n">
        <v>0.135</v>
      </c>
      <c r="C12" s="15" t="n">
        <v>-0.095</v>
      </c>
      <c r="D12" s="15" t="n">
        <v>27</v>
      </c>
      <c r="E12" s="15" t="n">
        <v>-31</v>
      </c>
      <c r="F12" s="15" t="n">
        <v>3</v>
      </c>
      <c r="G12" s="15" t="inlineStr">
        <is>
          <t>THE capture lever: the desk's 'still loud but less bullish' hypothesis is the single biggest contributor - it earns 7 of the 17 catches.</t>
        </is>
      </c>
    </row>
    <row r="14" ht="23.85" customHeight="1" s="13">
      <c r="A14" s="21" t="inlineStr">
        <is>
          <t>Caveats (the thesis's own, and they apply here too)</t>
        </is>
      </c>
      <c r="B14" s="22" t="inlineStr">
        <is>
          <t>Features are correlated, so single-feature drops UNDERSTATE overlapping ingredients; with 74 detectable peaks, deltas of a catch or two are noise - read the big movements (hype gate, fade trigger), not the decimals.</t>
        </is>
      </c>
      <c r="C14" s="25" t="n"/>
      <c r="D14" s="25" t="n"/>
      <c r="E14" s="25" t="n"/>
      <c r="F14" s="25" t="n"/>
      <c r="G14" s="26" t="n"/>
    </row>
  </sheetData>
  <mergeCells count="2">
    <mergeCell ref="B14:G14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2" min="1" max="1"/>
    <col width="46" customWidth="1" style="12" min="2" max="2"/>
    <col width="50" customWidth="1" style="12" min="3" max="3"/>
  </cols>
  <sheetData>
    <row r="1" ht="25.5" customHeight="1" s="13">
      <c r="A1" s="14" t="inlineStr">
        <is>
          <t>7. ML challenger - walk-forward logistic regression vs the hand-rules</t>
        </is>
      </c>
    </row>
    <row r="3" ht="15" customHeight="1" s="13">
      <c r="A3" s="17" t="inlineStr">
        <is>
          <t>Element</t>
        </is>
      </c>
      <c r="B3" s="17" t="inlineStr">
        <is>
          <t>Specification</t>
        </is>
      </c>
      <c r="C3" s="17" t="inlineStr">
        <is>
          <t>Result / reading</t>
        </is>
      </c>
    </row>
    <row r="4" ht="79.84999999999999" customHeight="1" s="13">
      <c r="A4" s="20" t="inlineStr">
        <is>
          <t>Model</t>
        </is>
      </c>
      <c r="B4" s="15" t="inlineStr">
        <is>
          <t>Logistic regression (class-balanced) on the SAME five features (E1, E2, E3, E5, fade), candidate days = same non-fitted prerequisites (hype + coverage gates). Deliberately the simplest learner: with ~70 positive events, anything bigger memorises (the thesis's GNNs managed ~12% precision on 133 positives - a warning about model appetite vs label supply [1]).</t>
        </is>
      </c>
      <c r="C4" s="15" t="inlineStr">
        <is>
          <t>Label: a detectable peak within [day-1, day+30]. Probability cut-off chosen on TRAIN years by the same utility (hits - 1.0 x FAs). Nothing sees the future.</t>
        </is>
      </c>
    </row>
    <row r="5" ht="35.05" customHeight="1" s="13">
      <c r="A5" s="18" t="inlineStr">
        <is>
          <t>Adoption criterion (fixed BEFORE the numbers)</t>
        </is>
      </c>
      <c r="B5" s="19" t="inlineStr">
        <is>
          <t>Replace the rules only if the ML wins on (a) matched-years utility AND (b) captures at least as many peaks in the most recent year AND (c) at least as many in total.</t>
        </is>
      </c>
      <c r="C5" s="19" t="inlineStr">
        <is>
          <t>(c) exists because a near-silent model can win the utility score by never firing - and a top detector that never fires is not a better top detector.</t>
        </is>
      </c>
    </row>
    <row r="6" ht="23.85" customHeight="1" s="13">
      <c r="A6" s="20" t="inlineStr">
        <is>
          <t>Matched-years result (2022-2026)</t>
        </is>
      </c>
      <c r="B6" s="15" t="inlineStr">
        <is>
          <t>Rules: 4 captured, utility -30. ML: 1 captured, 2 FAs, utility -1.</t>
        </is>
      </c>
      <c r="C6" s="15" t="inlineStr">
        <is>
          <t>ML wins utility by near-silence (criterion (a)) but fails (b) 1&lt;2 and (c) 1&lt;4 -&gt; RULES KEPT.</t>
        </is>
      </c>
    </row>
    <row r="7" ht="57.45" customHeight="1" s="13">
      <c r="A7" s="18" t="inlineStr">
        <is>
          <t>Learned coefficients</t>
        </is>
      </c>
      <c r="B7" s="19" t="inlineStr">
        <is>
          <t>e1 +1.10, e2 +0.83, e5 +0.56, e3 -1.27, fade -0.41.</t>
        </is>
      </c>
      <c r="C7" s="19" t="inlineStr">
        <is>
          <t>The learned model ranks attention extremity and sustained bullishness top - the same features the hand-rules lean on. Independent evidence the rules are not arbitrary. (Negative e3/fade at the daily-probability level vs their alert-level value = level-vs-trigger roles, documented in analytics/euphoria.py.)</t>
        </is>
      </c>
    </row>
    <row r="8" ht="46.25" customHeight="1" s="13">
      <c r="A8" s="20" t="inlineStr">
        <is>
          <t>Verdict</t>
        </is>
      </c>
      <c r="B8" s="15" t="inlineStr">
        <is>
          <t>RULES KEPT. The ML harness stays in the codebase and re-runs on every euphoria rebuild - if richer data (comment backfill) changes the verdict, the criterion is already stated.</t>
        </is>
      </c>
      <c r="C8" s="15" t="inlineStr">
        <is>
          <t>Re-tested automatically; the dashboard shows the comparison table each run.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2" customWidth="1" style="13" min="1" max="1"/>
    <col width="52" customWidth="1" style="13" min="2" max="2"/>
    <col width="46" customWidth="1" style="13" min="3" max="3"/>
    <col width="40" customWidth="1" style="13" min="4" max="4"/>
  </cols>
  <sheetData>
    <row r="1">
      <c r="A1" s="27" t="inlineStr">
        <is>
          <t>7b. Euphoria START detection - the July-2026 phases study (notebooks 01-04)</t>
        </is>
      </c>
    </row>
    <row r="3">
      <c r="A3" s="28" t="inlineStr">
        <is>
          <t>Item</t>
        </is>
      </c>
      <c r="B3" s="28" t="inlineStr">
        <is>
          <t>Decision / result</t>
        </is>
      </c>
      <c r="C3" s="28" t="inlineStr">
        <is>
          <t>Derivation (no arbitrary numbers)</t>
        </is>
      </c>
      <c r="D3" s="28" t="inlineStr">
        <is>
          <t>Evidence</t>
        </is>
      </c>
    </row>
    <row r="4">
      <c r="A4" s="29" t="inlineStr">
        <is>
          <t>Aim</t>
        </is>
      </c>
      <c r="B4" s="29" t="inlineStr">
        <is>
          <t>Detect the START of GME-scale euphoria episodes from the crowd alone, sparingly; plus confirm the TOP detector.</t>
        </is>
      </c>
      <c r="C4" s="29" t="inlineStr">
        <is>
          <t>Extends the July-2026 re-aim; crowd-only hard rule unchanged (price = ground truth + scoring only).</t>
        </is>
      </c>
      <c r="D4" s="29" t="inlineStr">
        <is>
          <t>notebooks/01-04; analytics/euphoria_phases.py</t>
        </is>
      </c>
    </row>
    <row r="5">
      <c r="A5" s="29" t="inlineStr">
        <is>
          <t>Episode ground truth</t>
        </is>
      </c>
      <c r="B5" s="29" t="inlineStr">
        <is>
          <t>Boom-bust arc trough-&gt;peak-&gt;bust from the EXISTING peak rules G1-G3; trough = the 120d low G2 already measures the boom from.</t>
        </is>
      </c>
      <c r="C5" s="29" t="inlineStr">
        <is>
          <t>No new fitted quantity: every threshold inherited from the validated top study.</t>
        </is>
      </c>
      <c r="D5" s="29" t="inlineStr">
        <is>
          <t>NB01: 333 episodes, 126 onset-detectable, 136 top-detectable</t>
        </is>
      </c>
    </row>
    <row r="6">
      <c r="A6" s="29" t="inlineStr">
        <is>
          <t>Onset hit window</t>
        </is>
      </c>
      <c r="B6" s="29" t="inlineStr">
        <is>
          <t>[trough, trough+45d], CAPPED at the peak; mid-rally alerts = LATE (neither hit nor false).</t>
        </is>
      </c>
      <c r="C6" s="29" t="inlineStr">
        <is>
          <t>45d mirrors the existing FA horizon in score_alerts; cap prevents post-top alerts counting as 'caught the start'. Desk decision, recorded before results.</t>
        </is>
      </c>
      <c r="D6" s="29" t="inlineStr">
        <is>
          <t>NB01 register; test_onset_window_capped_at_peak</t>
        </is>
      </c>
    </row>
    <row r="7">
      <c r="A7" s="29" t="inlineStr">
        <is>
          <t>Feature bank (locked)</t>
        </is>
      </c>
      <c r="B7" s="29" t="inlineStr">
        <is>
          <t>attention_accel, hype_ratio, bull_inflection, influx_speed, attention_convexity.</t>
        </is>
      </c>
      <c r="C7" s="29" t="inlineStr">
        <is>
          <t>Every window derived from existing constants (ROLL=7, 28d E-windows, 14d fade window, 120d hype baseline). source_breadth REJECTED: coverage-regime artifact (X/StockTwits exist only from 2026).</t>
        </is>
      </c>
      <c r="D7" s="29" t="inlineStr">
        <is>
          <t>NB02 battery: per-feature AUROC + cluster-bootstrap CIs, ablation, perturbation</t>
        </is>
      </c>
    </row>
    <row r="8">
      <c r="A8" s="29" t="inlineStr">
        <is>
          <t>Tournament winner</t>
        </is>
      </c>
      <c r="B8" s="29" t="inlineStr">
        <is>
          <t>RULES (unweighted bank mean, coverage + above-median-attention gates). GBM tied on AP but not outside the bootstrap CI -&gt; parsimony; MLP finished below random.</t>
        </is>
      </c>
      <c r="C8" s="29" t="inlineStr">
        <is>
          <t>Criterion pre-stated: AP ranking (thesis 6.2.3), must beat random on AP+AUROC, parsimony CI rule; FA budget derived from the incumbent's accepted 0.23/instr-yr.</t>
        </is>
      </c>
      <c r="D8" s="29" t="inlineStr">
        <is>
          <t>NB03: rules AP 0.098 vs random 0.072; top task: rules AP 0.286 vs random 0.204</t>
        </is>
      </c>
    </row>
    <row r="9">
      <c r="A9" s="29" t="inlineStr">
        <is>
          <t>Validated record</t>
        </is>
      </c>
      <c r="B9" s="29" t="inlineStr">
        <is>
          <t>29/125 detectable onsets captured (23%), 21 late, 169 FA = 0.348/instr-yr (ABOVE the 0.23 budget - stated cost).</t>
        </is>
      </c>
      <c r="C9" s="29" t="inlineStr">
        <is>
          <t>Walk-forward, thresholds from past years only; both denominators always reported.</t>
        </is>
      </c>
      <c r="D9" s="29" t="inlineStr">
        <is>
          <t>NB04: median entry 17d after trough, 66d of rally still ahead</t>
        </is>
      </c>
    </row>
    <row r="10">
      <c r="A10" s="29" t="inlineStr">
        <is>
          <t>Label sensitivity</t>
        </is>
      </c>
      <c r="B10" s="29" t="inlineStr">
        <is>
          <t>Capture rate flat across softened(20/40)/standard(25/50)/hardened(30/60) boom labels: 22.4%, 23.2%, 22.1%.</t>
        </is>
      </c>
      <c r="C10" s="29" t="inlineStr">
        <is>
          <t>Thesis 7.1.2 port: conclusions must survive labelling perturbation.</t>
        </is>
      </c>
      <c r="D10" s="29" t="inlineStr">
        <is>
          <t>NB03 sensitivity table</t>
        </is>
      </c>
    </row>
    <row r="11">
      <c r="A11" s="29" t="inlineStr">
        <is>
          <t>Trading translation</t>
        </is>
      </c>
      <c r="B11" s="29" t="inlineStr">
        <is>
          <t>REJECTED for both ONSET-&gt;BUY and TOP-&gt;SELL under the pre-stated criterion (n&gt;=30, beats same-instrument 20d baseline, CI excludes 0).</t>
        </is>
      </c>
      <c r="C11" s="29" t="inlineStr">
        <is>
          <t>Same treatment as the retired BUY/SELL engine; evidence retained.</t>
        </is>
      </c>
      <c r="D11" s="29" t="inlineStr">
        <is>
          <t>NB04: onset diff -0.63% CI [-0.0151, 0.0026]; top diff -1.55% CI [-0.0563, 0.0263]</t>
        </is>
      </c>
    </row>
    <row r="12">
      <c r="A12" s="29" t="inlineStr">
        <is>
          <t>Dashboard</t>
        </is>
      </c>
      <c r="B12" s="29" t="inlineStr">
        <is>
          <t>New 'Start / End radar' tab: STARTING and ENDING panes, each split Themes | Single names; only names alerted within the 21d cooldown; record printed on the pane.</t>
        </is>
      </c>
      <c r="C12" s="29" t="inlineStr">
        <is>
          <t>Sparse by design - an empty pane is the radar working.</t>
        </is>
      </c>
      <c r="D12" s="29" t="inlineStr">
        <is>
          <t>dashboard.py t_phase; AppTest 0 exceptions</t>
        </is>
      </c>
    </row>
    <row r="13">
      <c r="A13" s="29" t="inlineStr">
        <is>
          <t>Price-assisted END gate (2026-07-24)</t>
        </is>
      </c>
      <c r="B13" s="29" t="inlineStr">
        <is>
          <t>PASSED all pre-stated conditions: G2 boom thresholds as a live prerequisite -&gt; capture 16-&gt;26 detectable tops (matched years), AP 0.286-&gt;0.435, FAs 44-&gt;41, capture-gain CI [+3.5pp,+13pp]. Offered as labelled second signal; claim becomes 'crowd + chart'.</t>
        </is>
      </c>
      <c r="C13" s="29" t="inlineStr">
        <is>
          <t>The gate reuses the ground-truth boom definition on trailing prices - no new constant, no look-ahead.</t>
        </is>
      </c>
      <c r="D13" s="29" t="inlineStr">
        <is>
          <t>NB03 commissioned-test section</t>
        </is>
      </c>
    </row>
    <row r="14">
      <c r="A14" s="29" t="inlineStr">
        <is>
          <t>Combined price+crowd ALERT bank (2026-07-24)</t>
        </is>
      </c>
      <c r="B14" s="29" t="inlineStr">
        <is>
          <t>REJECTED under pre-stated criterion: 65% cliff-30 hit rate indistinguishable from its own 62% candidate-day baseline (CI includes 0). Smoothed-trigger evidence retained: FA 31-&gt;24 at equal capture, median trigger run 6-&gt;8d.</t>
        </is>
      </c>
      <c r="C14" s="29" t="inlineStr">
        <is>
          <t>The alert layer cannot out-predict its own danger state; its job is timing the peak, which it does (median 8d lead).</t>
        </is>
      </c>
      <c r="D14" s="29" t="inlineStr">
        <is>
          <t>NB06 desk-signal study</t>
        </is>
      </c>
    </row>
    <row r="15">
      <c r="A15" s="29" t="inlineStr">
        <is>
          <t>DANGER STATE shipped (2026-07-24)</t>
        </is>
      </c>
      <c r="B15" s="29" t="inlineStr">
        <is>
          <t>The candidacy state (A1 2x hype AND G2 boom) validated as the standing drop-warning: cliff-30 = 62% in-state vs 19% ordinary, uplift CI [+28pp,+50pp]. Rendered as the amber band on every terminal price panel.</t>
        </is>
      </c>
      <c r="C15" s="29" t="inlineStr">
        <is>
          <t>Pure composition of two existing constants; the single most actionable statistic of the project for the PM use case.</t>
        </is>
      </c>
      <c r="D15" s="29" t="inlineStr">
        <is>
          <t>NB06; dashboard danger band; PARAMETER_REGISTER</t>
        </is>
      </c>
    </row>
    <row r="16">
      <c r="A16" s="29" t="inlineStr">
        <is>
          <t>DESK CONFIGURATION adopted: GET OUT (2026-07-24)</t>
        </is>
      </c>
      <c r="B16" s="29" t="inlineStr">
        <is>
          <t>Boom-gated END rules + 7d-smoothed (ROLL) trigger. Walk-forward: capture 24/122 detectable tops, FA 39 (0.195/instr-yr), AP 0.449 (raw gate 0.435), median warning 8d before the peak. Smoothing adopted by pre-stated rule (AP not lower AND FAs not higher); 2-capture cost recorded. Frozen live threshold 0.630 (budget rule, full prior years).</t>
        </is>
      </c>
      <c r="C16" s="29" t="inlineStr">
        <is>
          <t>The desk lifted the crowd-only rule for a labelled SECOND family ('use both price and social media - I want a better hit rate') and demanded no one-day blips. Candidacy = A1 hype AND G2 boom (existing constants only).</t>
        </is>
      </c>
      <c r="D16" s="29" t="inlineStr">
        <is>
          <t>NB06 adopted-configuration section; euphoria_desk_report.json; euphoria_phases.py §6</t>
        </is>
      </c>
    </row>
    <row r="17">
      <c r="A17" s="29" t="inlineStr">
        <is>
          <t>DESK CONFIGURATION adopted: GET IN (2026-07-24)</t>
        </is>
      </c>
      <c r="B17" s="29" t="inlineStr">
        <is>
          <t>Phase-aware onset (end-stage days - A1∧A2∧A3-persistence - excluded from candidacy) + 7d smoothing. Adjacency (START within 21d before an END) 20→2, LATE 21→10, FA 169→124; capture cost 29→20 of 125 RECORDED. Frozen live threshold 0.848. OVERRULES the earlier utility-rule rejection of the phase-aware variant as an explicit desk decision.</t>
        </is>
      </c>
      <c r="C17" s="29" t="inlineStr">
        <is>
          <t>The desk stated three times that a START landing on an END destroys PM trust - adjacency is the binding constraint, so it overrules raw capture. Selection rule pre-stated in NB06; drift guard pins notebook == production.</t>
        </is>
      </c>
      <c r="D17" s="29" t="inlineStr">
        <is>
          <t>NB06; euphoria_desk_report.json; PARAMETER_REGISTER class 5; dashboard GET IN/GET OUT banners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2" min="1" max="1"/>
    <col width="54" customWidth="1" style="12" min="2" max="2"/>
    <col width="46" customWidth="1" style="12" min="3" max="3"/>
  </cols>
  <sheetData>
    <row r="1" ht="25.5" customHeight="1" s="13">
      <c r="A1" s="14" t="inlineStr">
        <is>
          <t>8. Influence Tracker - the thesis method on our data [1]</t>
        </is>
      </c>
    </row>
    <row r="3" ht="15" customHeight="1" s="13">
      <c r="A3" s="17" t="inlineStr">
        <is>
          <t>Component</t>
        </is>
      </c>
      <c r="B3" s="17" t="inlineStr">
        <is>
          <t>Implementation</t>
        </is>
      </c>
      <c r="C3" s="17" t="inlineStr">
        <is>
          <t>Thesis grounding</t>
        </is>
      </c>
    </row>
    <row r="4" ht="35.05" customHeight="1" s="13">
      <c r="A4" s="20" t="inlineStr">
        <is>
          <t>Call extraction</t>
        </is>
      </c>
      <c r="B4" s="15" t="inlineStr">
        <is>
          <t>Every authored post/comment mentioning a ticker with |VADER| &gt;= 0.20 = a directional CALL (author, date, ticker, +/-1, stance strength). Neutral chatter is not a call.</t>
        </is>
      </c>
      <c r="C4" s="15" t="inlineStr">
        <is>
          <t>Thesis extracts forecasts with an LLM (macro-F1 0.78); we use the project's lexicon scorer - same taxonomy (explicit + implied direction), upgrade path on sheet 11.</t>
        </is>
      </c>
    </row>
    <row r="5" ht="46.25" customHeight="1" s="13">
      <c r="A5" s="18" t="inlineStr">
        <is>
          <t>Volatility-scaled judging</t>
        </is>
      </c>
      <c r="B5" s="19" t="inlineStr">
        <is>
          <t>Correct iff the 20d move clears tau = max(3%, 0.5 x sigma_90d) for THAT name; abnormal-return z vs the name's own trailing 90d distribution; ENHANCED correct = direction right AND &gt;= 1 sigma abnormal.</t>
        </is>
      </c>
      <c r="C5" s="19" t="inlineStr">
        <is>
          <t>Thesis sec 4.5: tau = max(tau0, 0.5 sigma) - one fixed bar would misgrade an index ETF and a meme stock with the same ruler. Same construction, domain-scaled (3% floor on 20d equity moves vs 0.25% hourly crypto).</t>
        </is>
      </c>
    </row>
    <row r="6" ht="46.25" customHeight="1" s="13">
      <c r="A6" s="20" t="inlineStr">
        <is>
          <t>Usefulness scores</t>
        </is>
      </c>
      <c r="B6" s="15" t="inlineStr">
        <is>
          <t>s_conf = stance-weighted accuracy (shrink a=10); s_z = x w(z), w(z)=clip(1+|z|, 0.1, 2.0) (a=5); s_enh = stance-weighted enhanced accuracy (a=10). Min-max normalise, COMPOSITE = 0.4/0.4/0.2, HIGH tier &gt;= 0.66.</t>
        </is>
      </c>
      <c r="C6" s="15" t="inlineStr">
        <is>
          <t>Thesis sec 4.6 verbatim: the exact weights, shrinkage strengths (z shrinks less - a big-|z| hit is itself evidence) and tier cutoff. Stance magnitude stands in for the thesis's LLM confidence field.</t>
        </is>
      </c>
    </row>
    <row r="7" ht="68.65000000000001" customHeight="1" s="13">
      <c r="A7" s="18" t="inlineStr">
        <is>
          <t>Interaction graph</t>
        </is>
      </c>
      <c r="B7" s="19" t="inlineStr">
        <is>
          <t>Undirected weighted author graph from reply edges (comment-&gt;comment via parent ids AND comment-&gt;post via link ids); bot filters: edge weight cap 100, broadcast accounts (&gt;1000 comments / &gt;100 posts) excluded, star-topology filter on graphs &gt;= 50 nodes; degree, weighted degree, PageRank (power iteration, d=0.85).</t>
        </is>
      </c>
      <c r="C7" s="19" t="inlineStr">
        <is>
          <t>Thesis ch 4-5: same construction + cleaning table. Its ablation found PageRank the single most beneficial structural feature and raw degree HARMFUL - so the board never ranks by size.</t>
        </is>
      </c>
    </row>
    <row r="8" ht="57.45" customHeight="1" s="13">
      <c r="A8" s="20" t="inlineStr">
        <is>
          <t>Loud-but-wrong flag</t>
        </is>
      </c>
      <c r="B8" s="15" t="inlineStr">
        <is>
          <t>Top-quartile PageRank AND below-median composite.</t>
        </is>
      </c>
      <c r="C8" s="15" t="inlineStr">
        <is>
          <t>The thesis's false-positive profile made a column: its FP group had 3x the degree, 2x the PageRank and 40.2% accuracy vs 79.2% for the quiet true positives - the accounts a 'follow the big names' desk copies, and the evidence says to fade.</t>
        </is>
      </c>
    </row>
    <row r="9" ht="23.85" customHeight="1" s="13">
      <c r="A9" s="18" t="inlineStr">
        <is>
          <t>Boom/bust record</t>
        </is>
      </c>
      <c r="B9" s="19" t="inlineStr">
        <is>
          <t>Bearish calls inside [peak-30d, peak+5d] of a confirmed euphoria top = 'called the top'; bullish there = 'bought the top'.</t>
        </is>
      </c>
      <c r="C9" s="19" t="inlineStr">
        <is>
          <t>Connects the tracker to the project's aim: WHO calls tops is the actionable output.</t>
        </is>
      </c>
    </row>
    <row r="10" ht="68.65000000000001" customHeight="1" s="13">
      <c r="A10" s="20" t="inlineStr">
        <is>
          <t>Storage decision (REVERSED July 2026)</t>
        </is>
      </c>
      <c r="B10" s="15" t="inlineStr">
        <is>
          <t>The store is now COMMITTED: pseudonymous public author ids, text-free by a hard write-time check (FORBIDDEN-columns), one shared leaderboard both machines extend; only the per-machine ingest ledger stays local. Every update_data.py run extends the store incrementally (per-file ledger: only NEW raw files are parsed).</t>
        </is>
      </c>
      <c r="C10" s="15" t="inlineStr">
        <is>
          <t>Thesis ethics sec 8.3.2 rationale: public pseudonymous identifiers used solely as node ids; no private data collected. Desk decision so live data keeps building one shared record.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2" customWidth="1" style="13" min="1" max="1"/>
    <col width="52" customWidth="1" style="13" min="2" max="2"/>
    <col width="46" customWidth="1" style="13" min="3" max="3"/>
    <col width="40" customWidth="1" style="13" min="4" max="4"/>
  </cols>
  <sheetData>
    <row r="1">
      <c r="A1" s="27" t="inlineStr">
        <is>
          <t>8b. Influential-users MODEL - thesis chapter 6 ported to the live store (notebook 05)</t>
        </is>
      </c>
    </row>
    <row r="3">
      <c r="A3" s="28" t="inlineStr">
        <is>
          <t>Item</t>
        </is>
      </c>
      <c r="B3" s="28" t="inlineStr">
        <is>
          <t>Decision / result</t>
        </is>
      </c>
      <c r="C3" s="28" t="inlineStr">
        <is>
          <t>Derivation</t>
        </is>
      </c>
      <c r="D3" s="28" t="inlineStr">
        <is>
          <t>Evidence</t>
        </is>
      </c>
    </row>
    <row r="4">
      <c r="A4" s="29" t="inlineStr">
        <is>
          <t>Question</t>
        </is>
      </c>
      <c r="B4" s="29" t="inlineStr">
        <is>
          <t>Can HIGH-predictive authors be identified from behaviour + graph position BEFORE reading their track record? (The thesis's core contribution.)</t>
        </is>
      </c>
      <c r="C4" s="29" t="inlineStr">
        <is>
          <t>Thesis ch.3+6: semi-supervised node classification under class imbalance.</t>
        </is>
      </c>
      <c r="D4" s="29" t="inlineStr">
        <is>
          <t>notebooks/05; analytics/influence_ml.py</t>
        </is>
      </c>
    </row>
    <row r="5">
      <c r="A5" s="29" t="inlineStr">
        <is>
          <t>Labels</t>
        </is>
      </c>
      <c r="B5" s="29" t="inlineStr">
        <is>
          <t>HIGH tier = composite &gt;= 0.66 among authors with &gt;= 1 judged call; others stay as unlabelled graph context.</t>
        </is>
      </c>
      <c r="C5" s="29" t="inlineStr">
        <is>
          <t>Composite already implemented verbatim from thesis 4.6 in influence.py.</t>
        </is>
      </c>
      <c r="D5" s="29" t="inlineStr">
        <is>
          <t>influence.py HIGH_TIER</t>
        </is>
      </c>
    </row>
    <row r="6">
      <c r="A6" s="29" t="inlineStr">
        <is>
          <t>Leakage guard</t>
        </is>
      </c>
      <c r="B6" s="29" t="inlineStr">
        <is>
          <t>composite, s_conf/s_z/s_enh, hit_rate, tier NEVER used as features.</t>
        </is>
      </c>
      <c r="C6" s="29" t="inlineStr">
        <is>
          <t>Thesis 6.2: labelling-pipeline features excluded to prevent leakage.</t>
        </is>
      </c>
      <c r="D6" s="29" t="inlineStr">
        <is>
          <t>influence_ml.py LEAKAGE set + assert</t>
        </is>
      </c>
    </row>
    <row r="7">
      <c r="A7" s="29" t="inlineStr">
        <is>
          <t>Models</t>
        </is>
      </c>
      <c r="B7" s="29" t="inlineStr">
        <is>
          <t>random | feature-only MLP | structure-only LabelProp | sage_lite (one GraphSAGE mean-aggregation layer).</t>
        </is>
      </c>
      <c r="C7" s="29" t="inlineStr">
        <is>
          <t>Scaled to label supply: thesis's own GNNs reached ~12% precision on 133 positives - bigger models memorise.</t>
        </is>
      </c>
      <c r="D7" s="29" t="inlineStr">
        <is>
          <t>thesis Table 7.1 benchmark: GraphSAGE AP 0.140, AUROC 0.632</t>
        </is>
      </c>
    </row>
    <row r="8">
      <c r="A8" s="29" t="inlineStr">
        <is>
          <t>Discipline</t>
        </is>
      </c>
      <c r="B8" s="29" t="inlineStr">
        <is>
          <t>Stratified 60/20/20, seeds 42/100/2026, class weights, threshold = max precision s.t. recall &gt;= 0.05 on validation, AP+AUROC on test; category ablation + random/DICE graph perturbation.</t>
        </is>
      </c>
      <c r="C8" s="29" t="inlineStr">
        <is>
          <t>Thesis 6.2 + 7.2, kept exactly.</t>
        </is>
      </c>
      <c r="D8" s="29" t="inlineStr">
        <is>
          <t>influence_ml.py evaluate/ablate/perturb</t>
        </is>
      </c>
    </row>
    <row r="9">
      <c r="A9" s="29" t="inlineStr">
        <is>
          <t>Status</t>
        </is>
      </c>
      <c r="B9" s="29" t="inlineStr">
        <is>
          <t>STANDING EXPERIMENT: store is live-only and seeds on the first update_data.py run; NB05 re-renders from the real store each run. Harness validated on a schema-faithful synthetic fixture (deleted after use).</t>
        </is>
      </c>
      <c r="C9" s="29" t="inlineStr">
        <is>
          <t>Forward record from inception - no backfill (desk decision).</t>
        </is>
      </c>
      <c r="D9" s="29" t="inlineStr">
        <is>
          <t>NB05 asserts store presence with instructions</t>
        </is>
      </c>
    </row>
    <row r="10">
      <c r="A10" s="29" t="inlineStr">
        <is>
          <t>Maturity criterion</t>
        </is>
      </c>
      <c r="B10" s="29" t="inlineStr">
        <is>
          <t>Model outputs become decision-grade only at &gt;= 130 labelled positives (the scale where the thesis's best model still only reached ~12% operating precision). Until then: research companion, never a desk ranking.</t>
        </is>
      </c>
      <c r="C10" s="29" t="inlineStr">
        <is>
          <t>Pre-stated NOW, before the store is big - no moving goalposts later.</t>
        </is>
      </c>
      <c r="D10" s="29" t="inlineStr">
        <is>
          <t>NB05 verdict cell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2" min="1" max="1"/>
    <col width="52" customWidth="1" style="12" min="2" max="2"/>
    <col width="44" customWidth="1" style="12" min="3" max="3"/>
  </cols>
  <sheetData>
    <row r="1" ht="25.5" customHeight="1" s="13">
      <c r="A1" s="14" t="inlineStr">
        <is>
          <t>9. Legacy decisions (pre-pivot, all evidence retained)</t>
        </is>
      </c>
    </row>
    <row r="3" ht="15" customHeight="1" s="13">
      <c r="A3" s="17" t="inlineStr">
        <is>
          <t>Decision</t>
        </is>
      </c>
      <c r="B3" s="17" t="inlineStr">
        <is>
          <t>Evidence</t>
        </is>
      </c>
      <c r="C3" s="17" t="inlineStr">
        <is>
          <t>Status</t>
        </is>
      </c>
    </row>
    <row r="4" ht="68.65000000000001" customHeight="1" s="13">
      <c r="A4" s="20" t="inlineStr">
        <is>
          <t>BUY/SELL engine retired from the dashboard</t>
        </is>
      </c>
      <c r="B4" s="15" t="inlineStr">
        <is>
          <t>It is the ORIGINAL RetailFlow1 logic, unchanged (verified by diffing signal files - only anchor-less 'cannabis' differs). Scoring RetailFlow1's OWN file on real closes: BUY = -1.42%/trade over 2021-2026; per-year +6.3 / -11.1 / -3.0 / +1.7 / -1.3 / +0.4. The old report cards were window-clipped - recent windows FELT good; full history was negative.</t>
        </is>
      </c>
      <c r="C4" s="15" t="inlineStr">
        <is>
          <t>Retired from the dashboard July 2026; remains in analytics/ for research. Window-start alone (trailing-365d -&gt; Jan-2026) moved the scorecard +4.4% -&gt; +1.6% with zero model change.</t>
        </is>
      </c>
    </row>
    <row r="5" ht="57.45" customHeight="1" s="13">
      <c r="A5" s="18" t="inlineStr">
        <is>
          <t>Conviction display: EWM baseline (halflife 42d)</t>
        </is>
      </c>
      <c r="B5" s="19" t="inlineStr">
        <is>
          <t>Chosen on real prices: long its own +2.5 up-crossings, 20d hold = +1.36%/trade, 63% hit, 299 trades, +0.78% above unconditional drift, positive 5/6 years; stable across halflife 28/42/60 and holds 10/20/30 (a plateau, not a spike). Re-centres within weeks after coverage shocks.</t>
        </is>
      </c>
      <c r="C5" s="19" t="inlineStr">
        <is>
          <t>KEPT for the conviction tab. The signal ENGINE keeps its original rolling-84 construction (EWM inside the engine was worse: -1.80 vs -0.93%/trade).</t>
        </is>
      </c>
    </row>
    <row r="6" ht="35.05" customHeight="1" s="13">
      <c r="A6" s="20" t="inlineStr">
        <is>
          <t>Grey reversion-exit markers</t>
        </is>
      </c>
      <c r="B6" s="15" t="inlineStr">
        <is>
          <t>Exit on z-reversion: +0.83%/trade in ~10d vs +1.36% in 20d = 0.080 vs 0.065 %/DAY - capital works ~2x as often. On the engine's own BUYs, cuts -1.42% to -1.03%/trade.</t>
        </is>
      </c>
      <c r="C6" s="15" t="inlineStr">
        <is>
          <t>KEPT (charts + REVERTED hints). Official scorecard still accounts fixed 20d holds.</t>
        </is>
      </c>
    </row>
    <row r="7" ht="23.85" customHeight="1" s="13">
      <c r="A7" s="18" t="inlineStr">
        <is>
          <t>Shorts from conviction: rejected</t>
        </is>
      </c>
      <c r="B7" s="19" t="inlineStr">
        <is>
          <t>Every construction loses (down-cross -1.33%/trade; post-peak -0.67; shallow -0.30; at best 2/6 years positive).</t>
        </is>
      </c>
      <c r="C7" s="19" t="inlineStr">
        <is>
          <t>Retail conviction fading = EXIT timing, not short entry - which is what the grey markers implement.</t>
        </is>
      </c>
    </row>
    <row r="8" ht="35.05" customHeight="1" s="13">
      <c r="A8" s="20" t="inlineStr">
        <is>
          <t>Parameters frozen</t>
        </is>
      </c>
      <c r="B8" s="15" t="inlineStr">
        <is>
          <t>All knobs in src/config.py with evidence quoted inline; daily signal snapshots are never revised - the forward record is the only true out-of-sample test.</t>
        </is>
      </c>
      <c r="C8" s="15" t="inlineStr">
        <is>
          <t>Changes require NEW out-of-sample evidence, not re-runs of the same history.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2" min="1" max="1"/>
    <col width="52" customWidth="1" style="12" min="2" max="2"/>
    <col width="44" customWidth="1" style="12" min="3" max="3"/>
  </cols>
  <sheetData>
    <row r="1" ht="25.5" customHeight="1" s="13">
      <c r="A1" s="14" t="inlineStr">
        <is>
          <t>10. Limitations &amp; risks (the examiner's sheet)</t>
        </is>
      </c>
    </row>
    <row r="3" ht="15" customHeight="1" s="13">
      <c r="A3" s="17" t="inlineStr">
        <is>
          <t>Limitation</t>
        </is>
      </c>
      <c r="B3" s="17" t="inlineStr">
        <is>
          <t>Honest statement</t>
        </is>
      </c>
      <c r="C3" s="17" t="inlineStr">
        <is>
          <t>Mitigation / response</t>
        </is>
      </c>
    </row>
    <row r="4" ht="35.05" customHeight="1" s="13">
      <c r="A4" s="20" t="inlineStr">
        <is>
          <t>Coverage cliffs</t>
        </is>
      </c>
      <c r="B4" s="15" t="inlineStr">
        <is>
          <t>2023-25 archive coverage is thin -&gt; ZERO detectable peaks there; the detector is blind, not wrong, in those eras - and 44+34 real peaks sit outside its reach.</t>
        </is>
      </c>
      <c r="C4" s="15" t="inlineStr">
        <is>
          <t>Both denominators always reported; the comment backfill (~10x volume) is the direct fix (sheet 11).</t>
        </is>
      </c>
    </row>
    <row r="5" ht="35.05" customHeight="1" s="13">
      <c r="A5" s="18" t="inlineStr">
        <is>
          <t>Reddit-only capture cost</t>
        </is>
      </c>
      <c r="B5" s="19" t="inlineStr">
        <is>
          <t>23% of detectable vs 46% for the price-assisted variant: the chart carries real information the desk chose to give up.</t>
        </is>
      </c>
      <c r="C5" s="19" t="inlineStr">
        <is>
          <t>A deliberate, documented trade for the clean claim; the price-assisted harness remains in git history if the desk ever re-decides.</t>
        </is>
      </c>
    </row>
    <row r="6" ht="35.05" customHeight="1" s="13">
      <c r="A6" s="20" t="inlineStr">
        <is>
          <t>Small event counts</t>
        </is>
      </c>
      <c r="B6" s="15" t="inlineStr">
        <is>
          <t>17 captures / 74 detectable peaks - single events move rates by ~1.4pp; per-year splits are noisier still.</t>
        </is>
      </c>
      <c r="C6" s="15" t="inlineStr">
        <is>
          <t>No decimal-level claims; ablation read at the big-movement level only; walk-forward (never pooled) evaluation.</t>
        </is>
      </c>
    </row>
    <row r="7" ht="35.05" customHeight="1" s="13">
      <c r="A7" s="18" t="inlineStr">
        <is>
          <t>Sentiment label noise</t>
        </is>
      </c>
      <c r="B7" s="19" t="inlineStr">
        <is>
          <t>VADER+lexicon mislabels sarcasm and implicit calls; the thesis measured ~15-20% forecast-extraction error even with an LLM [1].</t>
        </is>
      </c>
      <c r="C7" s="19" t="inlineStr">
        <is>
          <t>Errors average out at 28d aggregation and author-level scoring (same argument as the thesis); LLM extraction is the named upgrade (sheet 11).</t>
        </is>
      </c>
    </row>
    <row r="8" ht="35.05" customHeight="1" s="13">
      <c r="A8" s="20" t="inlineStr">
        <is>
          <t>Threshold at grid edge</t>
        </is>
      </c>
      <c r="B8" s="15" t="inlineStr">
        <is>
          <t>Recent years pick threshold 85 = the grid maximum - the utility landscape wants conservatism, so the effective trigger is the fade discount.</t>
        </is>
      </c>
      <c r="C8" s="15" t="inlineStr">
        <is>
          <t>Documented; grid deliberately NOT extended after seeing results (that would be fitting the grid to the test).</t>
        </is>
      </c>
    </row>
    <row r="9" ht="35.05" customHeight="1" s="13">
      <c r="A9" s="18" t="inlineStr">
        <is>
          <t>2021 undertrained</t>
        </is>
      </c>
      <c r="B9" s="19" t="inlineStr">
        <is>
          <t>2021's threshold is the do-no-harm default (its training years pre-date price history).</t>
        </is>
      </c>
      <c r="C9" s="19" t="inlineStr">
        <is>
          <t>Extending prices to 2017 (one command) gives 2018-20 real peaks -&gt; 2021 gets trained; numbers auto-refresh.</t>
        </is>
      </c>
    </row>
    <row r="10" ht="23.85" customHeight="1" s="13">
      <c r="A10" s="20" t="inlineStr">
        <is>
          <t>Survivorship &amp; curation</t>
        </is>
      </c>
      <c r="B10" s="15" t="inlineStr">
        <is>
          <t>Deleted posts vanish from live fetches; authors curate their history (thesis flags the same bias [1]).</t>
        </is>
      </c>
      <c r="C10" s="15" t="inlineStr">
        <is>
          <t>Arctic Shift archives shortly after posting (partial); the ingest ledger keeps first-seen records once fetched.</t>
        </is>
      </c>
    </row>
    <row r="11" ht="35.05" customHeight="1" s="13">
      <c r="A11" s="18" t="inlineStr">
        <is>
          <t>One-subreddit thesis, many-subreddit desk</t>
        </is>
      </c>
      <c r="B11" s="19" t="inlineStr">
        <is>
          <t>The thesis validated on r/CryptoMarkets; our transfer of its constants (shrinkage strengths, tier cutoff, filters) assumes they travel.</t>
        </is>
      </c>
      <c r="C11" s="19" t="inlineStr">
        <is>
          <t>Constants documented as ported (sheet 8); they set RELATIVE rankings, not absolute claims, so miscalibration degrades gracefully.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2" min="1" max="1"/>
    <col width="56" customWidth="1" style="12" min="2" max="2"/>
    <col width="34" customWidth="1" style="12" min="3" max="3"/>
  </cols>
  <sheetData>
    <row r="1" ht="25.5" customHeight="1" s="13">
      <c r="A1" s="14" t="inlineStr">
        <is>
          <t>11. Next steps, ranked by expected impact</t>
        </is>
      </c>
    </row>
    <row r="3" ht="15" customHeight="1" s="13">
      <c r="A3" s="17" t="inlineStr">
        <is>
          <t>Step</t>
        </is>
      </c>
      <c r="B3" s="17" t="inlineStr">
        <is>
          <t>Why it is the biggest lever</t>
        </is>
      </c>
      <c r="C3" s="17" t="inlineStr">
        <is>
          <t>Command / owner</t>
        </is>
      </c>
    </row>
    <row r="4" ht="57.45" customHeight="1" s="13">
      <c r="A4" s="20" t="inlineStr">
        <is>
          <t>1. Comment backfill -&gt; aggregates</t>
        </is>
      </c>
      <c r="B4" s="15" t="inlineStr">
        <is>
          <t>Comments are ~10x post volume and feed EVERY euphoria ingredient; 2022-25 become detectable, capture should recover toward (and possibly past) the price-assisted 46% WITHOUT touching the Reddit-only rule. The ML challenger auto-re-runs on the richer data under the already-stated criterion.</t>
        </is>
      </c>
      <c r="C4" s="15" t="inlineStr">
        <is>
          <t>python ingestion/fetch_reddit_comments.py --backfill &lt;half-years&gt;; then fold into aggregates (external machine --full)</t>
        </is>
      </c>
    </row>
    <row r="5" ht="57.45" customHeight="1" s="13">
      <c r="A5" s="18" t="inlineStr">
        <is>
          <t>2. Prices to 2017</t>
        </is>
      </c>
      <c r="B5" s="19" t="inlineStr">
        <is>
          <t>Turns 2018-20 into real training AND test years (2018 vol shock, 2020 covid tops); 2021 stops being undertrained.</t>
        </is>
      </c>
      <c r="C5" s="19" t="inlineStr">
        <is>
          <t>PowerShell: $env:PIPELINE_START_DATE="2017-01-01"; python pull_bloomberg_prices.py; then python -m analytics.run_analytics --what euphoria</t>
        </is>
      </c>
    </row>
    <row r="6" ht="23.85" customHeight="1" s="13">
      <c r="A6" s="20" t="inlineStr">
        <is>
          <t>3. Influence store: nothing to run (live-only)</t>
        </is>
      </c>
      <c r="B6" s="15" t="inlineStr">
        <is>
          <t>Desk decision, July 2026: the store builds itself from live pulls - created from nothing on the first update_data.py run, extended on every later one, with recent calls re-judged automatically as their 20d windows mature. The two dashboards share it via git.</t>
        </is>
      </c>
      <c r="C6" s="15" t="inlineStr">
        <is>
          <t>automatic (python update_data.py)</t>
        </is>
      </c>
    </row>
    <row r="7" ht="23.85" customHeight="1" s="13">
      <c r="A7" s="18" t="inlineStr">
        <is>
          <t>4. Forward out-of-sample record</t>
        </is>
      </c>
      <c r="B7" s="19" t="inlineStr">
        <is>
          <t>The frozen rules + daily snapshots mean every week from now is TRUE out-of-sample - the only evidence that survives an examiner.</t>
        </is>
      </c>
      <c r="C7" s="19" t="inlineStr">
        <is>
          <t>Automatic; review monthly</t>
        </is>
      </c>
    </row>
    <row r="8" ht="35.05" customHeight="1" s="13">
      <c r="A8" s="20" t="inlineStr">
        <is>
          <t>5. LLM call extraction (thesis upgrade)</t>
        </is>
      </c>
      <c r="B8" s="15" t="inlineStr">
        <is>
          <t>Replace VADER stance with structured forecast extraction (direction/asset/horizon/confidence) - the thesis's biggest quality step (macro-F1 0.78, kappa 0.76) [1].</t>
        </is>
      </c>
      <c r="C8" s="15" t="inlineStr">
        <is>
          <t>Future work - needs a funded API budget</t>
        </is>
      </c>
    </row>
    <row r="9" ht="35.05" customHeight="1" s="13">
      <c r="A9" s="18" t="inlineStr">
        <is>
          <t>6. Graph features INTO euphoria</t>
        </is>
      </c>
      <c r="B9" s="19" t="inlineStr">
        <is>
          <t>New-author influx and reply-graph growth as euphoria features (crowd composition, not just size) - the thesis's structural signals applied to the timing problem.</t>
        </is>
      </c>
      <c r="C9" s="19" t="inlineStr">
        <is>
          <t>Future work - needs comments folded into the aggregate contract first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2" min="1" max="1"/>
    <col width="56" customWidth="1" style="12" min="2" max="2"/>
    <col width="30" customWidth="1" style="12" min="3" max="3"/>
    <col width="44" customWidth="1" style="12" min="4" max="4"/>
  </cols>
  <sheetData>
    <row r="1" ht="25.5" customHeight="1" s="13">
      <c r="A1" s="14" t="inlineStr">
        <is>
          <t>12. References - every paper used, and where it entered the design</t>
        </is>
      </c>
    </row>
    <row r="3" ht="15" customHeight="1" s="13">
      <c r="A3" s="17" t="inlineStr">
        <is>
          <t>[n]</t>
        </is>
      </c>
      <c r="B3" s="17" t="inlineStr">
        <is>
          <t>Reference</t>
        </is>
      </c>
      <c r="C3" s="17" t="inlineStr">
        <is>
          <t>Where used</t>
        </is>
      </c>
      <c r="D3" s="17" t="inlineStr">
        <is>
          <t>Link</t>
        </is>
      </c>
    </row>
    <row r="4" ht="91" customHeight="1" s="13">
      <c r="A4" s="20" t="inlineStr">
        <is>
          <t>[1]</t>
        </is>
      </c>
      <c r="B4" s="15" t="inlineStr">
        <is>
          <t>Chan, J. J. J. (2026). Informed Trading Decisions via Social Network Analysis: A Graph Learning Approach. M.Eng thesis, University of Oxford (supervisor: Xiaowen Dong).</t>
        </is>
      </c>
      <c r="C4" s="15" t="inlineStr">
        <is>
          <t>Influence Tracker method (sheets 8): usefulness scoring, vol-scaled judging, shrinkage constants, graph construction + bot filters, PageRank&gt;degree finding, loud-but-wrong profile; ablation methodology (sheet 6); ML-appetite warning (sheet 7).</t>
        </is>
      </c>
      <c r="D4" s="15" t="inlineStr">
        <is>
          <t>provided by the desk (PDF)</t>
        </is>
      </c>
    </row>
    <row r="5" ht="35.05" customHeight="1" s="13">
      <c r="A5" s="18" t="inlineStr">
        <is>
          <t>[2]</t>
        </is>
      </c>
      <c r="B5" s="19" t="inlineStr">
        <is>
          <t>Barber, B., Huang, X., Odean, T. &amp; Schwarz, C. (2022). Attention-Induced Trading and Returns: Evidence from Robinhood Users. Journal of Financial Economics.</t>
        </is>
      </c>
      <c r="C5" s="19" t="inlineStr">
        <is>
          <t>E1 attention extremity; gate A2 - attention extremes precede reversals.</t>
        </is>
      </c>
      <c r="D5" s="19" t="inlineStr">
        <is>
          <t>https://www.sciencedirect.com/science/article/pii/S0304405X22000964</t>
        </is>
      </c>
    </row>
    <row r="6" ht="35.05" customHeight="1" s="13">
      <c r="A6" s="20" t="inlineStr">
        <is>
          <t>[3]</t>
        </is>
      </c>
      <c r="B6" s="15" t="inlineStr">
        <is>
          <t>Sornette, D. et al. LPPLS bubble indicators over two centuries of the S&amp;P 500 index.</t>
        </is>
      </c>
      <c r="C6" s="15" t="inlineStr">
        <is>
          <t>E5 - the super-exponential (LPPLS) bubble signature.</t>
        </is>
      </c>
      <c r="D6" s="15" t="inlineStr">
        <is>
          <t>https://www.researchgate.net/publication/303204113_LPPLS_bubble_indicators_over_two_centuries_of_the_SP_500_index</t>
        </is>
      </c>
    </row>
    <row r="7" ht="46.25" customHeight="1" s="13">
      <c r="A7" s="18" t="inlineStr">
        <is>
          <t>[4]</t>
        </is>
      </c>
      <c r="B7" s="19" t="inlineStr">
        <is>
          <t>Demirer, R. et al. On the Predictability of Stock Market Bubbles: Evidence from LPPLS Confidence Multi-scale Indicators.</t>
        </is>
      </c>
      <c r="C7" s="19" t="inlineStr">
        <is>
          <t>E5 - LPPLS confidence indicators predict bubble ends out-of-sample.</t>
        </is>
      </c>
      <c r="D7" s="19" t="inlineStr">
        <is>
          <t>https://www.researchgate.net/publication/318280992_On_the_Predictability_of_Stock_Market_Bubbles_Evidence_from_LPPLS_Confidence_TM_Multi-scale_Indicators</t>
        </is>
      </c>
    </row>
    <row r="8" ht="35.05" customHeight="1" s="13">
      <c r="A8" s="20" t="inlineStr">
        <is>
          <t>[5]</t>
        </is>
      </c>
      <c r="B8" s="15" t="inlineStr">
        <is>
          <t>CEPR/VoxEU. Twitter sentiment and stock market movements: the predictive power of social media.</t>
        </is>
      </c>
      <c r="C8" s="15" t="inlineStr">
        <is>
          <t>E2/E4 - aggregate sentiment extremes as contrarian markers.</t>
        </is>
      </c>
      <c r="D8" s="15" t="inlineStr">
        <is>
          <t>https://cepr.org/voxeu/columns/twitter-sentiment-and-stock-market-movements-predictive-power-social-media</t>
        </is>
      </c>
    </row>
    <row r="9" ht="35.05" customHeight="1" s="13">
      <c r="A9" s="18" t="inlineStr">
        <is>
          <t>[6]</t>
        </is>
      </c>
      <c r="B9" s="19" t="inlineStr">
        <is>
          <t>Jame, R. et al. (2022). Echo Chambers &amp; WallStreetBets retail herding (working paper).</t>
        </is>
      </c>
      <c r="C9" s="19" t="inlineStr">
        <is>
          <t>A1 hype prerequisite + cooldown - discussion-board attention concentration and its aftermath.</t>
        </is>
      </c>
      <c r="D9" s="19" t="inlineStr">
        <is>
          <t>https://russelljame.com/wsb_3_15_2022.pdf</t>
        </is>
      </c>
    </row>
    <row r="10" ht="23.85" customHeight="1" s="13">
      <c r="A10" s="20" t="inlineStr">
        <is>
          <t>[7]</t>
        </is>
      </c>
      <c r="B10" s="15" t="inlineStr">
        <is>
          <t>arXiv:2110.06190. LPPLS bubble diagnostics applied to meme stocks (GameStop episode).</t>
        </is>
      </c>
      <c r="C10" s="15" t="inlineStr">
        <is>
          <t>E5 - the signature holds on retail-driven single names.</t>
        </is>
      </c>
      <c r="D10" s="15" t="inlineStr">
        <is>
          <t>https://ideas.repec.org/p/arx/papers/2110.06190.html</t>
        </is>
      </c>
    </row>
    <row r="11" ht="23.85" customHeight="1" s="13">
      <c r="A11" s="18" t="inlineStr">
        <is>
          <t>[8]</t>
        </is>
      </c>
      <c r="B11" s="19" t="inlineStr">
        <is>
          <t>Sornette, D. Financial Crisis Observatory / LPPLS resources.</t>
        </is>
      </c>
      <c r="C11" s="19" t="inlineStr">
        <is>
          <t>E5 background - the crash-prediction framework.</t>
        </is>
      </c>
      <c r="D11" s="19" t="inlineStr">
        <is>
          <t>https://sornette.finance/landing/</t>
        </is>
      </c>
    </row>
    <row r="12" ht="35.05" customHeight="1" s="13">
      <c r="A12" s="20" t="inlineStr">
        <is>
          <t>[9]</t>
        </is>
      </c>
      <c r="B12" s="15" t="inlineStr">
        <is>
          <t>Dumb money: social network attention herding and retail investor returns (2025). Journal of Behavioral and Experimental Finance.</t>
        </is>
      </c>
      <c r="C12" s="15" t="inlineStr">
        <is>
          <t>E1/E3 - attention herding measured on social networks predicts poor forward returns.</t>
        </is>
      </c>
      <c r="D12" s="15" t="inlineStr">
        <is>
          <t>https://www.sciencedirect.com/science/article/pii/S2405918825000212</t>
        </is>
      </c>
    </row>
    <row r="13" ht="23.85" customHeight="1" s="13">
      <c r="A13" s="18" t="inlineStr">
        <is>
          <t>[10]</t>
        </is>
      </c>
      <c r="B13" s="19" t="inlineStr">
        <is>
          <t>Reddit sentiment and equity moves - Humanities &amp; Social Sciences Communications (2024).</t>
        </is>
      </c>
      <c r="C13" s="19" t="inlineStr">
        <is>
          <t>E2 - Reddit-aggregated sentiment vs subsequent price behaviour.</t>
        </is>
      </c>
      <c r="D13" s="19" t="inlineStr">
        <is>
          <t>https://www.nature.com/articles/s41599-024-03434-2</t>
        </is>
      </c>
    </row>
    <row r="14" ht="23.85" customHeight="1" s="13">
      <c r="A14" s="20" t="inlineStr">
        <is>
          <t>[11]</t>
        </is>
      </c>
      <c r="B14" s="15" t="inlineStr">
        <is>
          <t>Social-media sentiment aggregation and market timing - Journal of Behavioral Finance (2024).</t>
        </is>
      </c>
      <c r="C14" s="15" t="inlineStr">
        <is>
          <t>E2/E4 - aggregation windows and divergence patterns.</t>
        </is>
      </c>
      <c r="D14" s="15" t="inlineStr">
        <is>
          <t>https://www.tandfonline.com/doi/full/10.1080/15427560.2024.2309145</t>
        </is>
      </c>
    </row>
    <row r="15" ht="23.85" customHeight="1" s="13">
      <c r="A15" s="18" t="inlineStr">
        <is>
          <t>[12]</t>
        </is>
      </c>
      <c r="B15" s="19" t="inlineStr">
        <is>
          <t>Bollen, J. et al. Twitter mood predicts the stock market (PLOS ONE lineage study).</t>
        </is>
      </c>
      <c r="C15" s="19" t="inlineStr">
        <is>
          <t>Background - the original social-sentiment-predicts-markets result.</t>
        </is>
      </c>
      <c r="D15" s="19" t="inlineStr">
        <is>
          <t>https://journals.plos.org/plosone/article?id=10.1371/journal.pone.0165819</t>
        </is>
      </c>
    </row>
    <row r="17" ht="23.85" customHeight="1" s="13">
      <c r="A17" s="22" t="n"/>
      <c r="B17" s="22" t="inlineStr">
        <is>
          <t>Citation style note: [3][4][7][8] retrieved via desk web research July 2026; exact author lists per the linked landing pages. The thesis [1] is unpublished - cite as 'Chan (2026), University of Oxford M.Eng thesis' in the final deck.</t>
        </is>
      </c>
      <c r="C17" s="25" t="n"/>
      <c r="D17" s="26" t="n"/>
    </row>
  </sheetData>
  <mergeCells count="2">
    <mergeCell ref="B17:D17"/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2026-07-23T07:16:55Z</dcterms:created>
  <dcterms:modified xmlns:dcterms="http://purl.org/dc/terms/" xmlns:xsi="http://www.w3.org/2001/XMLSchema-instance" xsi:type="dcterms:W3CDTF">2026-07-24T08:27:26Z</dcterms:modified>
  <cp:revision>0</cp:revision>
</cp:coreProperties>
</file>